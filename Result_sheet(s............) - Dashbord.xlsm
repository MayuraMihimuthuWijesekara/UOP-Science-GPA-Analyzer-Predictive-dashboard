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cuments\UNI\RESULTS\"/>
    </mc:Choice>
  </mc:AlternateContent>
  <xr:revisionPtr revIDLastSave="0" documentId="13_ncr:1_{BA2936D3-E9F3-4D8F-AFF0-E4642765AFBF}" xr6:coauthVersionLast="47" xr6:coauthVersionMax="47" xr10:uidLastSave="{00000000-0000-0000-0000-000000000000}"/>
  <bookViews>
    <workbookView xWindow="-108" yWindow="-108" windowWidth="23256" windowHeight="12456" xr2:uid="{D78FB840-E8F9-4F75-9DD8-70A216212AFE}"/>
  </bookViews>
  <sheets>
    <sheet name="Results sheet" sheetId="4" r:id="rId1"/>
    <sheet name="Sheet1" sheetId="6" r:id="rId2"/>
  </sheets>
  <definedNames>
    <definedName name="_xleta.IF" hidden="1" xlm="1">#NAME?</definedName>
    <definedName name="_xleta.RIGHT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9" i="4" l="1"/>
  <c r="T105" i="4"/>
  <c r="V105" i="4" s="1"/>
  <c r="W105" i="4" s="1"/>
  <c r="V89" i="4"/>
  <c r="V90" i="4"/>
  <c r="V91" i="4"/>
  <c r="V92" i="4"/>
  <c r="V93" i="4"/>
  <c r="V94" i="4"/>
  <c r="V95" i="4"/>
  <c r="V96" i="4"/>
  <c r="V97" i="4"/>
  <c r="V98" i="4"/>
  <c r="V99" i="4"/>
  <c r="V100" i="4"/>
  <c r="W100" i="4" s="1"/>
  <c r="V101" i="4"/>
  <c r="V102" i="4"/>
  <c r="V103" i="4"/>
  <c r="V104" i="4"/>
  <c r="V106" i="4"/>
  <c r="V107" i="4"/>
  <c r="V88" i="4"/>
  <c r="W101" i="4"/>
  <c r="W102" i="4"/>
  <c r="W103" i="4"/>
  <c r="W104" i="4"/>
  <c r="W106" i="4"/>
  <c r="W107" i="4"/>
  <c r="U100" i="4"/>
  <c r="U101" i="4"/>
  <c r="U102" i="4"/>
  <c r="U103" i="4"/>
  <c r="U104" i="4"/>
  <c r="U105" i="4"/>
  <c r="U106" i="4"/>
  <c r="U107" i="4"/>
  <c r="T100" i="4"/>
  <c r="T101" i="4"/>
  <c r="T102" i="4"/>
  <c r="T103" i="4"/>
  <c r="T104" i="4"/>
  <c r="T106" i="4"/>
  <c r="T107" i="4"/>
  <c r="R107" i="4"/>
  <c r="R100" i="4"/>
  <c r="R101" i="4"/>
  <c r="R102" i="4"/>
  <c r="R103" i="4"/>
  <c r="R104" i="4"/>
  <c r="R105" i="4"/>
  <c r="R106" i="4"/>
  <c r="P107" i="4"/>
  <c r="P100" i="4"/>
  <c r="P101" i="4"/>
  <c r="P102" i="4"/>
  <c r="P103" i="4"/>
  <c r="P104" i="4"/>
  <c r="P105" i="4"/>
  <c r="P106" i="4"/>
  <c r="T73" i="4"/>
  <c r="V73" i="4" s="1"/>
  <c r="T74" i="4"/>
  <c r="V74" i="4" s="1"/>
  <c r="T75" i="4"/>
  <c r="V75" i="4" s="1"/>
  <c r="T76" i="4"/>
  <c r="V76" i="4" s="1"/>
  <c r="T77" i="4"/>
  <c r="V77" i="4" s="1"/>
  <c r="T78" i="4"/>
  <c r="V78" i="4" s="1"/>
  <c r="T79" i="4"/>
  <c r="V79" i="4" s="1"/>
  <c r="T80" i="4"/>
  <c r="V80" i="4" s="1"/>
  <c r="T81" i="4"/>
  <c r="V81" i="4" s="1"/>
  <c r="T82" i="4"/>
  <c r="V82" i="4" s="1"/>
  <c r="T83" i="4"/>
  <c r="V83" i="4" s="1"/>
  <c r="T84" i="4"/>
  <c r="V84" i="4" s="1"/>
  <c r="T85" i="4"/>
  <c r="V85" i="4" s="1"/>
  <c r="R80" i="4"/>
  <c r="R81" i="4"/>
  <c r="R82" i="4"/>
  <c r="R83" i="4"/>
  <c r="R84" i="4"/>
  <c r="R85" i="4"/>
  <c r="R73" i="4"/>
  <c r="R74" i="4"/>
  <c r="R75" i="4"/>
  <c r="R76" i="4"/>
  <c r="R77" i="4"/>
  <c r="R78" i="4"/>
  <c r="R79" i="4"/>
  <c r="P80" i="4"/>
  <c r="U80" i="4" s="1"/>
  <c r="P81" i="4"/>
  <c r="U81" i="4" s="1"/>
  <c r="W81" i="4" s="1"/>
  <c r="P82" i="4"/>
  <c r="U82" i="4" s="1"/>
  <c r="P83" i="4"/>
  <c r="U83" i="4" s="1"/>
  <c r="P84" i="4"/>
  <c r="U84" i="4" s="1"/>
  <c r="P85" i="4"/>
  <c r="U85" i="4" s="1"/>
  <c r="W85" i="4" s="1"/>
  <c r="P73" i="4"/>
  <c r="U73" i="4" s="1"/>
  <c r="P74" i="4"/>
  <c r="U74" i="4" s="1"/>
  <c r="P75" i="4"/>
  <c r="U75" i="4" s="1"/>
  <c r="W75" i="4" s="1"/>
  <c r="P76" i="4"/>
  <c r="U76" i="4" s="1"/>
  <c r="P77" i="4"/>
  <c r="U77" i="4" s="1"/>
  <c r="W77" i="4" s="1"/>
  <c r="P78" i="4"/>
  <c r="U78" i="4" s="1"/>
  <c r="W78" i="4" s="1"/>
  <c r="P79" i="4"/>
  <c r="U79" i="4" s="1"/>
  <c r="W79" i="4" s="1"/>
  <c r="T46" i="4"/>
  <c r="V46" i="4" s="1"/>
  <c r="T47" i="4"/>
  <c r="V47" i="4" s="1"/>
  <c r="T48" i="4"/>
  <c r="V48" i="4" s="1"/>
  <c r="T49" i="4"/>
  <c r="V49" i="4" s="1"/>
  <c r="T50" i="4"/>
  <c r="V50" i="4" s="1"/>
  <c r="T51" i="4"/>
  <c r="V51" i="4" s="1"/>
  <c r="T52" i="4"/>
  <c r="V52" i="4" s="1"/>
  <c r="T53" i="4"/>
  <c r="V53" i="4" s="1"/>
  <c r="T54" i="4"/>
  <c r="V54" i="4" s="1"/>
  <c r="T55" i="4"/>
  <c r="V55" i="4" s="1"/>
  <c r="T56" i="4"/>
  <c r="V56" i="4" s="1"/>
  <c r="T57" i="4"/>
  <c r="V57" i="4" s="1"/>
  <c r="T58" i="4"/>
  <c r="V58" i="4" s="1"/>
  <c r="T59" i="4"/>
  <c r="V59" i="4" s="1"/>
  <c r="T60" i="4"/>
  <c r="V60" i="4" s="1"/>
  <c r="T61" i="4"/>
  <c r="V61" i="4" s="1"/>
  <c r="T62" i="4"/>
  <c r="V62" i="4" s="1"/>
  <c r="T63" i="4"/>
  <c r="V63" i="4" s="1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46" i="4"/>
  <c r="R47" i="4"/>
  <c r="R48" i="4"/>
  <c r="R49" i="4"/>
  <c r="R50" i="4"/>
  <c r="P51" i="4"/>
  <c r="U51" i="4" s="1"/>
  <c r="P52" i="4"/>
  <c r="U52" i="4" s="1"/>
  <c r="P53" i="4"/>
  <c r="U53" i="4" s="1"/>
  <c r="P54" i="4"/>
  <c r="U54" i="4" s="1"/>
  <c r="P55" i="4"/>
  <c r="U55" i="4" s="1"/>
  <c r="P56" i="4"/>
  <c r="U56" i="4" s="1"/>
  <c r="P57" i="4"/>
  <c r="U57" i="4" s="1"/>
  <c r="P58" i="4"/>
  <c r="U58" i="4" s="1"/>
  <c r="P59" i="4"/>
  <c r="U59" i="4" s="1"/>
  <c r="P60" i="4"/>
  <c r="U60" i="4" s="1"/>
  <c r="P61" i="4"/>
  <c r="U61" i="4" s="1"/>
  <c r="P62" i="4"/>
  <c r="U62" i="4" s="1"/>
  <c r="P63" i="4"/>
  <c r="U63" i="4" s="1"/>
  <c r="P46" i="4"/>
  <c r="U46" i="4" s="1"/>
  <c r="P47" i="4"/>
  <c r="U47" i="4" s="1"/>
  <c r="P48" i="4"/>
  <c r="U48" i="4" s="1"/>
  <c r="P49" i="4"/>
  <c r="U49" i="4" s="1"/>
  <c r="P50" i="4"/>
  <c r="U50" i="4" s="1"/>
  <c r="T25" i="4"/>
  <c r="V25" i="4" s="1"/>
  <c r="T26" i="4"/>
  <c r="V26" i="4" s="1"/>
  <c r="T27" i="4"/>
  <c r="V27" i="4" s="1"/>
  <c r="T28" i="4"/>
  <c r="V28" i="4" s="1"/>
  <c r="T29" i="4"/>
  <c r="V29" i="4" s="1"/>
  <c r="T30" i="4"/>
  <c r="V30" i="4" s="1"/>
  <c r="T31" i="4"/>
  <c r="V31" i="4" s="1"/>
  <c r="T32" i="4"/>
  <c r="V32" i="4" s="1"/>
  <c r="T33" i="4"/>
  <c r="V33" i="4" s="1"/>
  <c r="T34" i="4"/>
  <c r="V34" i="4" s="1"/>
  <c r="T35" i="4"/>
  <c r="V35" i="4" s="1"/>
  <c r="T36" i="4"/>
  <c r="V36" i="4" s="1"/>
  <c r="T37" i="4"/>
  <c r="V37" i="4" s="1"/>
  <c r="T38" i="4"/>
  <c r="V38" i="4" s="1"/>
  <c r="T39" i="4"/>
  <c r="V39" i="4" s="1"/>
  <c r="T40" i="4"/>
  <c r="V40" i="4" s="1"/>
  <c r="T41" i="4"/>
  <c r="V41" i="4" s="1"/>
  <c r="R34" i="4"/>
  <c r="R35" i="4"/>
  <c r="R36" i="4"/>
  <c r="R37" i="4"/>
  <c r="R38" i="4"/>
  <c r="R39" i="4"/>
  <c r="R40" i="4"/>
  <c r="R41" i="4"/>
  <c r="R25" i="4"/>
  <c r="R26" i="4"/>
  <c r="R27" i="4"/>
  <c r="R28" i="4"/>
  <c r="R29" i="4"/>
  <c r="R30" i="4"/>
  <c r="R31" i="4"/>
  <c r="R32" i="4"/>
  <c r="R33" i="4"/>
  <c r="P34" i="4"/>
  <c r="U34" i="4" s="1"/>
  <c r="P35" i="4"/>
  <c r="U35" i="4" s="1"/>
  <c r="P36" i="4"/>
  <c r="U36" i="4" s="1"/>
  <c r="P37" i="4"/>
  <c r="U37" i="4" s="1"/>
  <c r="P38" i="4"/>
  <c r="U38" i="4" s="1"/>
  <c r="P39" i="4"/>
  <c r="U39" i="4" s="1"/>
  <c r="P40" i="4"/>
  <c r="U40" i="4" s="1"/>
  <c r="P41" i="4"/>
  <c r="U41" i="4" s="1"/>
  <c r="P25" i="4"/>
  <c r="U25" i="4" s="1"/>
  <c r="P26" i="4"/>
  <c r="U26" i="4" s="1"/>
  <c r="P27" i="4"/>
  <c r="U27" i="4" s="1"/>
  <c r="P28" i="4"/>
  <c r="U28" i="4" s="1"/>
  <c r="P29" i="4"/>
  <c r="U29" i="4" s="1"/>
  <c r="P30" i="4"/>
  <c r="U30" i="4" s="1"/>
  <c r="P31" i="4"/>
  <c r="U31" i="4" s="1"/>
  <c r="P32" i="4"/>
  <c r="U32" i="4" s="1"/>
  <c r="P33" i="4"/>
  <c r="U33" i="4" s="1"/>
  <c r="T89" i="4"/>
  <c r="T90" i="4"/>
  <c r="T91" i="4"/>
  <c r="T92" i="4"/>
  <c r="T93" i="4"/>
  <c r="T94" i="4"/>
  <c r="T95" i="4"/>
  <c r="T96" i="4"/>
  <c r="T97" i="4"/>
  <c r="T98" i="4"/>
  <c r="T99" i="4"/>
  <c r="R89" i="4"/>
  <c r="R90" i="4"/>
  <c r="R91" i="4"/>
  <c r="R92" i="4"/>
  <c r="R93" i="4"/>
  <c r="R94" i="4"/>
  <c r="R95" i="4"/>
  <c r="R96" i="4"/>
  <c r="R97" i="4"/>
  <c r="R98" i="4"/>
  <c r="R99" i="4"/>
  <c r="P89" i="4"/>
  <c r="P90" i="4"/>
  <c r="U90" i="4" s="1"/>
  <c r="P91" i="4"/>
  <c r="U91" i="4" s="1"/>
  <c r="P92" i="4"/>
  <c r="U92" i="4" s="1"/>
  <c r="P93" i="4"/>
  <c r="U93" i="4" s="1"/>
  <c r="P94" i="4"/>
  <c r="U94" i="4" s="1"/>
  <c r="P95" i="4"/>
  <c r="U95" i="4" s="1"/>
  <c r="P96" i="4"/>
  <c r="U96" i="4" s="1"/>
  <c r="P97" i="4"/>
  <c r="U97" i="4" s="1"/>
  <c r="P98" i="4"/>
  <c r="U98" i="4" s="1"/>
  <c r="P99" i="4"/>
  <c r="U99" i="4" s="1"/>
  <c r="T67" i="4"/>
  <c r="V67" i="4" s="1"/>
  <c r="T68" i="4"/>
  <c r="V68" i="4" s="1"/>
  <c r="T69" i="4"/>
  <c r="V69" i="4" s="1"/>
  <c r="T70" i="4"/>
  <c r="V70" i="4" s="1"/>
  <c r="T71" i="4"/>
  <c r="V71" i="4" s="1"/>
  <c r="T72" i="4"/>
  <c r="V72" i="4" s="1"/>
  <c r="R67" i="4"/>
  <c r="R68" i="4"/>
  <c r="R69" i="4"/>
  <c r="R70" i="4"/>
  <c r="R71" i="4"/>
  <c r="R72" i="4"/>
  <c r="P67" i="4"/>
  <c r="P68" i="4"/>
  <c r="U68" i="4" s="1"/>
  <c r="P69" i="4"/>
  <c r="U69" i="4" s="1"/>
  <c r="P70" i="4"/>
  <c r="U70" i="4" s="1"/>
  <c r="P71" i="4"/>
  <c r="U71" i="4" s="1"/>
  <c r="P72" i="4"/>
  <c r="U72" i="4" s="1"/>
  <c r="T23" i="4"/>
  <c r="V23" i="4" s="1"/>
  <c r="T24" i="4"/>
  <c r="V24" i="4" s="1"/>
  <c r="R23" i="4"/>
  <c r="R24" i="4"/>
  <c r="P23" i="4"/>
  <c r="P24" i="4"/>
  <c r="U24" i="4" s="1"/>
  <c r="N2" i="6" a="1"/>
  <c r="N2" i="6" s="1"/>
  <c r="P88" i="4" s="1"/>
  <c r="K2" i="6" a="1"/>
  <c r="K2" i="6" s="1"/>
  <c r="P66" i="4" s="1"/>
  <c r="H2" i="6" a="1"/>
  <c r="E2" i="6" a="1"/>
  <c r="P22" i="4" s="1"/>
  <c r="U4" i="6"/>
  <c r="U3" i="6"/>
  <c r="U2" i="6"/>
  <c r="U5" i="6" s="1"/>
  <c r="R9" i="4"/>
  <c r="R7" i="4"/>
  <c r="R5" i="4"/>
  <c r="J51" i="4" l="1"/>
  <c r="J53" i="4"/>
  <c r="J50" i="4"/>
  <c r="J52" i="4"/>
  <c r="J45" i="4"/>
  <c r="J43" i="4"/>
  <c r="J44" i="4"/>
  <c r="W74" i="4"/>
  <c r="W62" i="4"/>
  <c r="W58" i="4"/>
  <c r="W54" i="4"/>
  <c r="W50" i="4"/>
  <c r="W76" i="4"/>
  <c r="W84" i="4"/>
  <c r="W80" i="4"/>
  <c r="W83" i="4"/>
  <c r="W82" i="4"/>
  <c r="W73" i="4"/>
  <c r="W60" i="4"/>
  <c r="W56" i="4"/>
  <c r="W52" i="4"/>
  <c r="W48" i="4"/>
  <c r="W57" i="4"/>
  <c r="W47" i="4"/>
  <c r="W61" i="4"/>
  <c r="W53" i="4"/>
  <c r="W49" i="4"/>
  <c r="W46" i="4"/>
  <c r="W63" i="4"/>
  <c r="W59" i="4"/>
  <c r="W55" i="4"/>
  <c r="W51" i="4"/>
  <c r="W33" i="4"/>
  <c r="W29" i="4"/>
  <c r="W25" i="4"/>
  <c r="W38" i="4"/>
  <c r="W34" i="4"/>
  <c r="W30" i="4"/>
  <c r="W26" i="4"/>
  <c r="W39" i="4"/>
  <c r="W35" i="4"/>
  <c r="W37" i="4"/>
  <c r="W41" i="4"/>
  <c r="W32" i="4"/>
  <c r="W28" i="4"/>
  <c r="W31" i="4"/>
  <c r="W27" i="4"/>
  <c r="W40" i="4"/>
  <c r="W36" i="4"/>
  <c r="T22" i="4"/>
  <c r="V22" i="4" s="1"/>
  <c r="R22" i="4"/>
  <c r="H2" i="6"/>
  <c r="P44" i="4" s="1"/>
  <c r="U44" i="4" s="1"/>
  <c r="P45" i="4"/>
  <c r="U45" i="4" s="1"/>
  <c r="R45" i="4"/>
  <c r="T45" i="4"/>
  <c r="V45" i="4" s="1"/>
  <c r="R44" i="4"/>
  <c r="T44" i="4"/>
  <c r="V44" i="4" s="1"/>
  <c r="R88" i="4"/>
  <c r="T88" i="4"/>
  <c r="R66" i="4"/>
  <c r="T66" i="4"/>
  <c r="V66" i="4" s="1"/>
  <c r="E2" i="6"/>
  <c r="P21" i="4" s="1"/>
  <c r="U21" i="4" s="1"/>
  <c r="T21" i="4"/>
  <c r="V21" i="4" s="1"/>
  <c r="R21" i="4"/>
  <c r="W97" i="4"/>
  <c r="W93" i="4"/>
  <c r="W98" i="4"/>
  <c r="W94" i="4"/>
  <c r="W90" i="4"/>
  <c r="W96" i="4"/>
  <c r="W92" i="4"/>
  <c r="W99" i="4"/>
  <c r="W95" i="4"/>
  <c r="W91" i="4"/>
  <c r="U66" i="4"/>
  <c r="U88" i="4"/>
  <c r="U89" i="4"/>
  <c r="U23" i="4"/>
  <c r="U67" i="4"/>
  <c r="U22" i="4"/>
  <c r="J42" i="4" l="1"/>
  <c r="U108" i="4"/>
  <c r="W89" i="4"/>
  <c r="W88" i="4"/>
  <c r="W108" i="4" l="1"/>
  <c r="X108" i="4" s="1"/>
  <c r="J31" i="4" s="1"/>
  <c r="W45" i="4"/>
  <c r="W44" i="4"/>
  <c r="W22" i="4"/>
  <c r="W23" i="4"/>
  <c r="W24" i="4"/>
  <c r="W21" i="4"/>
  <c r="W67" i="4"/>
  <c r="W68" i="4"/>
  <c r="W69" i="4"/>
  <c r="W70" i="4"/>
  <c r="W71" i="4"/>
  <c r="W72" i="4"/>
  <c r="W66" i="4"/>
  <c r="Z108" i="4" l="1"/>
  <c r="U86" i="4"/>
  <c r="U64" i="4"/>
  <c r="U42" i="4"/>
  <c r="R114" i="4" l="1"/>
  <c r="D29" i="4" s="1"/>
  <c r="W64" i="4"/>
  <c r="X64" i="4" s="1"/>
  <c r="W86" i="4"/>
  <c r="X86" i="4" s="1"/>
  <c r="J30" i="4" s="1"/>
  <c r="W42" i="4"/>
  <c r="Z64" i="4" l="1"/>
  <c r="J29" i="4"/>
  <c r="Y64" i="4"/>
  <c r="Z86" i="4"/>
  <c r="Y86" i="4"/>
  <c r="S116" i="4"/>
  <c r="X42" i="4"/>
  <c r="J28" i="4" s="1"/>
  <c r="R118" i="4" l="1"/>
  <c r="E31" i="4"/>
  <c r="Z42" i="4"/>
  <c r="R122" i="4" s="1"/>
  <c r="D37" i="4" s="1"/>
  <c r="F37" i="4" s="1" a="1"/>
  <c r="F37" i="4" s="1"/>
  <c r="Y42" i="4"/>
  <c r="R120" i="4" s="1"/>
  <c r="D35" i="4" s="1"/>
  <c r="F35" i="4" s="1" a="1"/>
  <c r="F35" i="4" s="1"/>
  <c r="T118" i="4" l="1" a="1"/>
  <c r="T118" i="4" s="1"/>
  <c r="D33" i="4"/>
  <c r="F33" i="4" s="1" a="1"/>
  <c r="F33" i="4" s="1"/>
  <c r="T120" i="4" a="1"/>
  <c r="T120" i="4" s="1"/>
  <c r="T122" i="4" a="1"/>
  <c r="T122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<sst xmlns="http://schemas.openxmlformats.org/spreadsheetml/2006/main" count="99" uniqueCount="49">
  <si>
    <t>UNIVERSITY OF PERADENIYA - FACULTY OF SCIENCE</t>
  </si>
  <si>
    <t>Index NO.</t>
  </si>
  <si>
    <t>RESULT SHEET</t>
  </si>
  <si>
    <t>Combination NO.</t>
  </si>
  <si>
    <t>A+</t>
  </si>
  <si>
    <t>A</t>
  </si>
  <si>
    <t>A-</t>
  </si>
  <si>
    <t>B+</t>
  </si>
  <si>
    <t>B</t>
  </si>
  <si>
    <t>B-</t>
  </si>
  <si>
    <t>C+</t>
  </si>
  <si>
    <t>C</t>
  </si>
  <si>
    <t>Subjects</t>
  </si>
  <si>
    <t>Title</t>
  </si>
  <si>
    <t>GP.</t>
  </si>
  <si>
    <t>Grade</t>
  </si>
  <si>
    <t>Cridit</t>
  </si>
  <si>
    <t>AB</t>
  </si>
  <si>
    <t>C-</t>
  </si>
  <si>
    <t>TOTAL CREDITS</t>
  </si>
  <si>
    <t xml:space="preserve">SUM OF GRATE POINTS </t>
  </si>
  <si>
    <t>1st year</t>
  </si>
  <si>
    <t>2nd year</t>
  </si>
  <si>
    <t>3rd year</t>
  </si>
  <si>
    <t>GPA for B.Sc</t>
  </si>
  <si>
    <t>NA</t>
  </si>
  <si>
    <t>4th year</t>
  </si>
  <si>
    <t>GPA(Yearly)</t>
  </si>
  <si>
    <t>yearly</t>
  </si>
  <si>
    <t>B.Sc</t>
  </si>
  <si>
    <t>Hons</t>
  </si>
  <si>
    <t>GPA(Basic)</t>
  </si>
  <si>
    <t>GPA for B.Sc.Hons</t>
  </si>
  <si>
    <t>1st Year GPA</t>
  </si>
  <si>
    <t>2nd Year GPA</t>
  </si>
  <si>
    <t>3rd Year GPA</t>
  </si>
  <si>
    <t>4th Year GPA</t>
  </si>
  <si>
    <t>YOUR GPA CALCULATION S</t>
  </si>
  <si>
    <t>COURSE CODE</t>
  </si>
  <si>
    <t>COURSE NAME</t>
  </si>
  <si>
    <t>RESULT</t>
  </si>
  <si>
    <t>YEAR</t>
  </si>
  <si>
    <t>D+</t>
  </si>
  <si>
    <t>D</t>
  </si>
  <si>
    <t>Target GPA</t>
  </si>
  <si>
    <t>You'r DATA</t>
  </si>
  <si>
    <t>For 3 Year</t>
  </si>
  <si>
    <t>For 4 Year</t>
  </si>
  <si>
    <t>Target GPA calculetor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</si>
</sst>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1" tint="4.9989318521683403E-2"/>
      </top>
      <bottom/>
      <diagonal/>
    </border>
    <border>
      <left/>
      <right/>
      <top/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medium">
        <color theme="1" tint="4.9989318521683403E-2"/>
      </left>
      <right style="medium">
        <color theme="1" tint="4.9989318521683403E-2"/>
      </right>
      <top style="medium">
        <color theme="1" tint="4.9989318521683403E-2"/>
      </top>
      <bottom style="medium">
        <color theme="1" tint="4.9989318521683403E-2"/>
      </bottom>
      <diagonal/>
    </border>
    <border>
      <left style="medium">
        <color theme="1" tint="4.9989318521683403E-2"/>
      </left>
      <right style="thin">
        <color theme="1" tint="4.9989318521683403E-2"/>
      </right>
      <top style="medium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thin">
        <color theme="1" tint="4.9989318521683403E-2"/>
      </right>
      <top style="medium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medium">
        <color theme="1" tint="4.9989318521683403E-2"/>
      </right>
      <top style="medium">
        <color theme="1" tint="4.9989318521683403E-2"/>
      </top>
      <bottom style="thin">
        <color theme="1" tint="4.9989318521683403E-2"/>
      </bottom>
      <diagonal/>
    </border>
    <border>
      <left style="medium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 style="medium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medium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medium">
        <color theme="1" tint="4.9989318521683403E-2"/>
      </bottom>
      <diagonal/>
    </border>
    <border>
      <left style="medium">
        <color indexed="64"/>
      </left>
      <right/>
      <top/>
      <bottom/>
      <diagonal/>
    </border>
    <border>
      <left style="medium">
        <color theme="1" tint="4.9989318521683403E-2"/>
      </left>
      <right style="thin">
        <color theme="1" tint="4.9989318521683403E-2"/>
      </right>
      <top style="medium">
        <color theme="1" tint="4.9989318521683403E-2"/>
      </top>
      <bottom/>
      <diagonal/>
    </border>
    <border>
      <left style="thin">
        <color theme="1" tint="4.9989318521683403E-2"/>
      </left>
      <right style="thin">
        <color theme="1" tint="4.9989318521683403E-2"/>
      </right>
      <top style="medium">
        <color theme="1" tint="4.9989318521683403E-2"/>
      </top>
      <bottom/>
      <diagonal/>
    </border>
    <border>
      <left style="thin">
        <color theme="1" tint="4.9989318521683403E-2"/>
      </left>
      <right/>
      <top style="medium">
        <color theme="1" tint="4.9989318521683403E-2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theme="1" tint="4.9989318521683403E-2"/>
      </left>
      <right style="medium">
        <color theme="1" tint="4.9989318521683403E-2"/>
      </right>
      <top style="medium">
        <color theme="1" tint="4.9989318521683403E-2"/>
      </top>
      <bottom/>
      <diagonal/>
    </border>
    <border>
      <left style="medium">
        <color theme="1" tint="4.9989318521683403E-2"/>
      </left>
      <right/>
      <top style="medium">
        <color theme="1" tint="4.9989318521683403E-2"/>
      </top>
      <bottom style="medium">
        <color theme="1" tint="4.9989318521683403E-2"/>
      </bottom>
      <diagonal/>
    </border>
    <border>
      <left/>
      <right style="medium">
        <color theme="1" tint="4.9989318521683403E-2"/>
      </right>
      <top style="medium">
        <color theme="1" tint="4.9989318521683403E-2"/>
      </top>
      <bottom style="medium">
        <color theme="1" tint="4.9989318521683403E-2"/>
      </bottom>
      <diagonal/>
    </border>
    <border>
      <left/>
      <right/>
      <top style="medium">
        <color theme="1" tint="4.9989318521683403E-2"/>
      </top>
      <bottom style="medium">
        <color theme="1" tint="4.9989318521683403E-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indexed="64"/>
      </right>
      <top style="medium">
        <color theme="1" tint="4.9989318521683403E-2"/>
      </top>
      <bottom style="medium">
        <color theme="1" tint="4.9989318521683403E-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1" tint="4.9989318521683403E-2"/>
      </left>
      <right style="thin">
        <color theme="1" tint="4.9989318521683403E-2"/>
      </right>
      <top style="thin">
        <color theme="1" tint="4.9989318521683403E-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2" xfId="0" applyFont="1" applyBorder="1"/>
    <xf numFmtId="0" fontId="1" fillId="0" borderId="2" xfId="0" applyFont="1" applyBorder="1" applyAlignment="1">
      <alignment vertical="center"/>
    </xf>
    <xf numFmtId="0" fontId="1" fillId="0" borderId="0" xfId="0" applyFont="1"/>
    <xf numFmtId="0" fontId="0" fillId="0" borderId="10" xfId="0" applyBorder="1"/>
    <xf numFmtId="0" fontId="0" fillId="0" borderId="11" xfId="0" applyBorder="1"/>
    <xf numFmtId="0" fontId="1" fillId="0" borderId="12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24" xfId="0" applyBorder="1"/>
    <xf numFmtId="0" fontId="0" fillId="3" borderId="13" xfId="0" applyFill="1" applyBorder="1"/>
    <xf numFmtId="0" fontId="0" fillId="3" borderId="25" xfId="0" applyFill="1" applyBorder="1"/>
    <xf numFmtId="0" fontId="0" fillId="2" borderId="12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0" fillId="15" borderId="36" xfId="0" applyFill="1" applyBorder="1"/>
    <xf numFmtId="0" fontId="0" fillId="15" borderId="6" xfId="0" applyFill="1" applyBorder="1"/>
    <xf numFmtId="0" fontId="0" fillId="15" borderId="26" xfId="0" applyFill="1" applyBorder="1"/>
    <xf numFmtId="0" fontId="0" fillId="16" borderId="6" xfId="0" applyFill="1" applyBorder="1"/>
    <xf numFmtId="0" fontId="0" fillId="0" borderId="30" xfId="0" applyBorder="1"/>
    <xf numFmtId="0" fontId="0" fillId="0" borderId="32" xfId="0" applyBorder="1"/>
    <xf numFmtId="0" fontId="0" fillId="0" borderId="20" xfId="0" applyBorder="1"/>
    <xf numFmtId="0" fontId="0" fillId="5" borderId="0" xfId="0" applyFill="1"/>
    <xf numFmtId="0" fontId="1" fillId="0" borderId="0" xfId="0" applyFont="1" applyAlignment="1">
      <alignment vertic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2" borderId="0" xfId="0" applyFill="1"/>
    <xf numFmtId="0" fontId="0" fillId="11" borderId="0" xfId="0" applyFill="1"/>
    <xf numFmtId="0" fontId="0" fillId="17" borderId="0" xfId="0" applyFill="1"/>
    <xf numFmtId="0" fontId="0" fillId="13" borderId="0" xfId="0" applyFill="1"/>
    <xf numFmtId="0" fontId="0" fillId="0" borderId="40" xfId="0" applyBorder="1"/>
    <xf numFmtId="0" fontId="0" fillId="0" borderId="1" xfId="0" applyBorder="1"/>
    <xf numFmtId="0" fontId="0" fillId="0" borderId="41" xfId="0" applyBorder="1"/>
    <xf numFmtId="0" fontId="0" fillId="0" borderId="31" xfId="0" applyBorder="1"/>
    <xf numFmtId="0" fontId="2" fillId="0" borderId="0" xfId="0" applyFont="1" applyAlignment="1">
      <alignment vertical="center"/>
    </xf>
    <xf numFmtId="0" fontId="3" fillId="0" borderId="0" xfId="0" applyFont="1"/>
    <xf numFmtId="0" fontId="6" fillId="0" borderId="0" xfId="0" applyFont="1"/>
    <xf numFmtId="0" fontId="4" fillId="0" borderId="0" xfId="0" applyFont="1"/>
    <xf numFmtId="0" fontId="0" fillId="18" borderId="20" xfId="0" applyFill="1" applyBorder="1"/>
    <xf numFmtId="0" fontId="0" fillId="18" borderId="0" xfId="0" applyFill="1"/>
    <xf numFmtId="0" fontId="0" fillId="18" borderId="24" xfId="0" applyFill="1" applyBorder="1"/>
    <xf numFmtId="0" fontId="1" fillId="18" borderId="2" xfId="0" applyFont="1" applyFill="1" applyBorder="1"/>
    <xf numFmtId="0" fontId="1" fillId="18" borderId="2" xfId="0" applyFont="1" applyFill="1" applyBorder="1" applyAlignment="1">
      <alignment vertical="center"/>
    </xf>
    <xf numFmtId="0" fontId="1" fillId="18" borderId="20" xfId="0" applyFont="1" applyFill="1" applyBorder="1" applyAlignment="1">
      <alignment vertical="center"/>
    </xf>
    <xf numFmtId="0" fontId="1" fillId="18" borderId="0" xfId="0" applyFont="1" applyFill="1" applyAlignment="1">
      <alignment vertical="center"/>
    </xf>
    <xf numFmtId="0" fontId="0" fillId="18" borderId="40" xfId="0" applyFill="1" applyBorder="1"/>
    <xf numFmtId="0" fontId="0" fillId="18" borderId="1" xfId="0" applyFill="1" applyBorder="1"/>
    <xf numFmtId="0" fontId="0" fillId="18" borderId="41" xfId="0" applyFill="1" applyBorder="1"/>
    <xf numFmtId="0" fontId="0" fillId="0" borderId="0" xfId="0" quotePrefix="1" applyAlignment="1">
      <alignment vertical="center"/>
    </xf>
    <xf numFmtId="0" fontId="0" fillId="0" borderId="0" xfId="0" applyAlignment="1">
      <alignment vertical="center"/>
    </xf>
    <xf numFmtId="0" fontId="0" fillId="0" borderId="2" xfId="0" quotePrefix="1" applyBorder="1" applyAlignment="1">
      <alignment vertical="center"/>
    </xf>
    <xf numFmtId="0" fontId="0" fillId="0" borderId="2" xfId="0" applyBorder="1" applyAlignment="1">
      <alignment vertical="center"/>
    </xf>
    <xf numFmtId="0" fontId="0" fillId="20" borderId="49" xfId="0" applyFill="1" applyBorder="1"/>
    <xf numFmtId="0" fontId="0" fillId="21" borderId="49" xfId="0" applyFill="1" applyBorder="1"/>
    <xf numFmtId="0" fontId="0" fillId="22" borderId="49" xfId="0" applyFill="1" applyBorder="1"/>
    <xf numFmtId="0" fontId="0" fillId="23" borderId="49" xfId="0" applyFill="1" applyBorder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0" borderId="12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" fillId="0" borderId="4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3" borderId="26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center"/>
    </xf>
    <xf numFmtId="0" fontId="1" fillId="3" borderId="39" xfId="0" applyFont="1" applyFill="1" applyBorder="1" applyAlignment="1">
      <alignment horizontal="center"/>
    </xf>
    <xf numFmtId="0" fontId="1" fillId="3" borderId="43" xfId="0" applyFont="1" applyFill="1" applyBorder="1" applyAlignment="1">
      <alignment horizontal="center"/>
    </xf>
    <xf numFmtId="0" fontId="1" fillId="3" borderId="44" xfId="0" applyFont="1" applyFill="1" applyBorder="1" applyAlignment="1">
      <alignment horizontal="center"/>
    </xf>
    <xf numFmtId="0" fontId="1" fillId="3" borderId="42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2" fillId="3" borderId="30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40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41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 vertical="center"/>
    </xf>
    <xf numFmtId="0" fontId="1" fillId="3" borderId="29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/>
    </xf>
    <xf numFmtId="0" fontId="1" fillId="18" borderId="45" xfId="0" applyFont="1" applyFill="1" applyBorder="1" applyAlignment="1">
      <alignment horizontal="center"/>
    </xf>
    <xf numFmtId="0" fontId="3" fillId="0" borderId="20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24" xfId="0" applyFont="1" applyBorder="1" applyAlignment="1">
      <alignment horizontal="left"/>
    </xf>
    <xf numFmtId="0" fontId="6" fillId="0" borderId="40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41" xfId="0" applyFont="1" applyBorder="1" applyAlignment="1">
      <alignment horizontal="left"/>
    </xf>
    <xf numFmtId="0" fontId="7" fillId="19" borderId="30" xfId="0" applyFont="1" applyFill="1" applyBorder="1" applyAlignment="1">
      <alignment horizontal="center" vertical="center"/>
    </xf>
    <xf numFmtId="0" fontId="7" fillId="19" borderId="31" xfId="0" applyFont="1" applyFill="1" applyBorder="1" applyAlignment="1">
      <alignment horizontal="center" vertical="center"/>
    </xf>
    <xf numFmtId="0" fontId="7" fillId="19" borderId="32" xfId="0" applyFont="1" applyFill="1" applyBorder="1" applyAlignment="1">
      <alignment horizontal="center" vertical="center"/>
    </xf>
    <xf numFmtId="0" fontId="7" fillId="19" borderId="40" xfId="0" applyFont="1" applyFill="1" applyBorder="1" applyAlignment="1">
      <alignment horizontal="center" vertical="center"/>
    </xf>
    <xf numFmtId="0" fontId="7" fillId="19" borderId="1" xfId="0" applyFont="1" applyFill="1" applyBorder="1" applyAlignment="1">
      <alignment horizontal="center" vertical="center"/>
    </xf>
    <xf numFmtId="0" fontId="7" fillId="19" borderId="41" xfId="0" applyFont="1" applyFill="1" applyBorder="1" applyAlignment="1">
      <alignment horizontal="center" vertical="center"/>
    </xf>
    <xf numFmtId="0" fontId="0" fillId="19" borderId="31" xfId="0" applyFill="1" applyBorder="1" applyAlignment="1">
      <alignment horizontal="center" vertical="center"/>
    </xf>
    <xf numFmtId="0" fontId="0" fillId="19" borderId="32" xfId="0" applyFill="1" applyBorder="1" applyAlignment="1">
      <alignment horizontal="center" vertical="center"/>
    </xf>
    <xf numFmtId="0" fontId="0" fillId="19" borderId="40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41" xfId="0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4" fillId="4" borderId="14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left"/>
    </xf>
    <xf numFmtId="0" fontId="1" fillId="2" borderId="16" xfId="0" applyFont="1" applyFill="1" applyBorder="1" applyAlignment="1">
      <alignment horizontal="left"/>
    </xf>
    <xf numFmtId="0" fontId="1" fillId="0" borderId="12" xfId="0" applyFont="1" applyBorder="1" applyAlignment="1">
      <alignment horizontal="center" vertical="center"/>
    </xf>
    <xf numFmtId="0" fontId="4" fillId="4" borderId="50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14" borderId="37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6" borderId="37" xfId="0" applyFill="1" applyBorder="1" applyAlignment="1">
      <alignment horizontal="center"/>
    </xf>
    <xf numFmtId="0" fontId="0" fillId="16" borderId="38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3" borderId="30" xfId="0" applyFont="1" applyFill="1" applyBorder="1" applyAlignment="1">
      <alignment horizontal="center"/>
    </xf>
    <xf numFmtId="0" fontId="1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9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/>
    <xf numFmtId="0" fontId="1" fillId="3" borderId="51" xfId="0" applyFont="1" applyFill="1" applyBorder="1" applyAlignment="1">
      <alignment horizontal="center"/>
    </xf>
    <xf numFmtId="0" fontId="1" fillId="3" borderId="33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52" xfId="0" applyFont="1" applyFill="1" applyBorder="1" applyAlignment="1">
      <alignment horizontal="center"/>
    </xf>
    <xf numFmtId="0" fontId="1" fillId="3" borderId="53" xfId="0" applyFont="1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24" xfId="0" applyFill="1" applyBorder="1"/>
    <xf numFmtId="0" fontId="0" fillId="3" borderId="0" xfId="0" applyFill="1" applyBorder="1"/>
    <xf numFmtId="0" fontId="0" fillId="3" borderId="20" xfId="0" applyFill="1" applyBorder="1"/>
    <xf numFmtId="0" fontId="0" fillId="3" borderId="40" xfId="0" applyFill="1" applyBorder="1"/>
    <xf numFmtId="0" fontId="0" fillId="3" borderId="1" xfId="0" applyFill="1" applyBorder="1"/>
    <xf numFmtId="0" fontId="0" fillId="3" borderId="41" xfId="0" applyFill="1" applyBorder="1"/>
    <xf numFmtId="0" fontId="1" fillId="19" borderId="53" xfId="0" applyFont="1" applyFill="1" applyBorder="1" applyAlignment="1">
      <alignment horizontal="center"/>
    </xf>
    <xf numFmtId="0" fontId="1" fillId="19" borderId="54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" fillId="19" borderId="44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3" borderId="56" xfId="0" applyFont="1" applyFill="1" applyBorder="1" applyAlignment="1">
      <alignment horizontal="center"/>
    </xf>
    <xf numFmtId="0" fontId="1" fillId="19" borderId="56" xfId="0" applyFont="1" applyFill="1" applyBorder="1" applyAlignment="1">
      <alignment horizontal="center"/>
    </xf>
    <xf numFmtId="0" fontId="1" fillId="19" borderId="57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0" fillId="3" borderId="58" xfId="0" applyFill="1" applyBorder="1" applyAlignment="1">
      <alignment horizontal="center"/>
    </xf>
    <xf numFmtId="0" fontId="0" fillId="3" borderId="59" xfId="0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8" fillId="3" borderId="30" xfId="0" applyFont="1" applyFill="1" applyBorder="1" applyAlignment="1">
      <alignment horizontal="left" vertical="center"/>
    </xf>
    <xf numFmtId="0" fontId="8" fillId="3" borderId="31" xfId="0" applyFont="1" applyFill="1" applyBorder="1" applyAlignment="1">
      <alignment horizontal="left" vertical="center"/>
    </xf>
    <xf numFmtId="0" fontId="8" fillId="3" borderId="32" xfId="0" applyFont="1" applyFill="1" applyBorder="1" applyAlignment="1">
      <alignment horizontal="left" vertical="center"/>
    </xf>
    <xf numFmtId="0" fontId="8" fillId="3" borderId="40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8" fillId="3" borderId="4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216477</xdr:colOff>
      <xdr:row>18</xdr:row>
      <xdr:rowOff>43295</xdr:rowOff>
    </xdr:from>
    <xdr:to>
      <xdr:col>11</xdr:col>
      <xdr:colOff>138545</xdr:colOff>
      <xdr:row>20</xdr:row>
      <xdr:rowOff>86591</xdr:rowOff>
    </xdr:to>
    <xdr:sp macro="[0]!_xludf.RESUL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B54F7A4-9696-D767-5234-0C78BE32141C}"/>
            </a:ext>
          </a:extLst>
        </xdr:cNvPr>
        <xdr:cNvSpPr/>
      </xdr:nvSpPr>
      <xdr:spPr>
        <a:xfrm>
          <a:off x="5671704" y="3515590"/>
          <a:ext cx="1134341" cy="406978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 u="none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SUBMIT</a:t>
          </a:r>
        </a:p>
      </xdr:txBody>
    </xdr:sp>
    <xdr:clientData/>
  </xdr:twoCellAnchor>
  <xdr:twoCellAnchor>
    <xdr:from>
      <xdr:col>4</xdr:col>
      <xdr:colOff>519546</xdr:colOff>
      <xdr:row>41</xdr:row>
      <xdr:rowOff>95250</xdr:rowOff>
    </xdr:from>
    <xdr:to>
      <xdr:col>6</xdr:col>
      <xdr:colOff>181841</xdr:colOff>
      <xdr:row>43</xdr:row>
      <xdr:rowOff>17318</xdr:rowOff>
    </xdr:to>
    <xdr:sp macro="[0]!CAL_SUBMI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8E6399-F9E2-3101-63A9-44FD46E4E1BB}"/>
            </a:ext>
          </a:extLst>
        </xdr:cNvPr>
        <xdr:cNvSpPr/>
      </xdr:nvSpPr>
      <xdr:spPr>
        <a:xfrm>
          <a:off x="2944091" y="7888432"/>
          <a:ext cx="874568" cy="303068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>
                  <a:lumMod val="95000"/>
                  <a:lumOff val="5000"/>
                </a:schemeClr>
              </a:solidFill>
            </a:rPr>
            <a:t>SUBMIT</a:t>
          </a:r>
        </a:p>
      </xdr:txBody>
    </xdr:sp>
    <xdr:clientData/>
  </xdr:twoCellAnchor>
  <xdr:twoCellAnchor>
    <xdr:from>
      <xdr:col>4</xdr:col>
      <xdr:colOff>542059</xdr:colOff>
      <xdr:row>43</xdr:row>
      <xdr:rowOff>91787</xdr:rowOff>
    </xdr:from>
    <xdr:to>
      <xdr:col>6</xdr:col>
      <xdr:colOff>204354</xdr:colOff>
      <xdr:row>45</xdr:row>
      <xdr:rowOff>13855</xdr:rowOff>
    </xdr:to>
    <xdr:sp macro="[0]!CALCULATER_RES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3009C18-57DA-4B28-A0B7-5B8BE5A910C9}"/>
            </a:ext>
          </a:extLst>
        </xdr:cNvPr>
        <xdr:cNvSpPr/>
      </xdr:nvSpPr>
      <xdr:spPr>
        <a:xfrm>
          <a:off x="2966604" y="8265969"/>
          <a:ext cx="874568" cy="303068"/>
        </a:xfrm>
        <a:prstGeom prst="roundRect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>
              <a:solidFill>
                <a:schemeClr val="tx1">
                  <a:lumMod val="95000"/>
                  <a:lumOff val="5000"/>
                </a:schemeClr>
              </a:solidFill>
            </a:rPr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9E79C-2B2F-4CA3-AECD-8C5E0E638E14}">
  <sheetPr codeName="Sheet1"/>
  <dimension ref="A1:AO126"/>
  <sheetViews>
    <sheetView showGridLines="0" tabSelected="1" topLeftCell="A21" zoomScale="88" workbookViewId="0">
      <selection activeCell="C42" sqref="C42:D42"/>
    </sheetView>
  </sheetViews>
  <sheetFormatPr defaultRowHeight="14.4" x14ac:dyDescent="0.3"/>
  <cols>
    <col min="16" max="16" width="13.33203125" customWidth="1"/>
    <col min="17" max="17" width="11.6640625" customWidth="1"/>
    <col min="18" max="18" width="12" bestFit="1" customWidth="1"/>
    <col min="19" max="19" width="13.5546875" customWidth="1"/>
  </cols>
  <sheetData>
    <row r="1" spans="1:41" ht="21.6" thickBot="1" x14ac:dyDescent="0.35">
      <c r="N1" s="25"/>
      <c r="O1" s="90" t="s">
        <v>0</v>
      </c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26"/>
    </row>
    <row r="2" spans="1:41" ht="16.2" customHeight="1" x14ac:dyDescent="0.3">
      <c r="A2" s="89" t="s">
        <v>0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1"/>
      <c r="N2" s="27"/>
      <c r="O2" s="93" t="s">
        <v>2</v>
      </c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10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</row>
    <row r="3" spans="1:41" ht="15" customHeight="1" thickBot="1" x14ac:dyDescent="0.35">
      <c r="A3" s="92" t="s">
        <v>2</v>
      </c>
      <c r="B3" s="93"/>
      <c r="C3" s="93"/>
      <c r="D3" s="93"/>
      <c r="E3" s="93"/>
      <c r="F3" s="93"/>
      <c r="G3" s="93"/>
      <c r="H3" s="93"/>
      <c r="I3" s="93"/>
      <c r="J3" s="93"/>
      <c r="K3" s="93"/>
      <c r="L3" s="94"/>
      <c r="N3" s="27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/>
      <c r="AA3" s="10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</row>
    <row r="4" spans="1:41" ht="15" customHeight="1" thickBot="1" x14ac:dyDescent="0.3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7"/>
      <c r="N4" s="27"/>
      <c r="AA4" s="10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</row>
    <row r="5" spans="1:41" x14ac:dyDescent="0.3">
      <c r="A5" s="47"/>
      <c r="B5" s="48"/>
      <c r="C5" s="48"/>
      <c r="D5" s="48"/>
      <c r="E5" s="48"/>
      <c r="F5" s="48"/>
      <c r="G5" s="48"/>
      <c r="H5" s="48"/>
      <c r="I5" s="48"/>
      <c r="J5" s="48"/>
      <c r="K5" s="48"/>
      <c r="L5" s="49"/>
      <c r="N5" s="27"/>
      <c r="P5" s="100" t="s">
        <v>1</v>
      </c>
      <c r="Q5" s="100"/>
      <c r="R5" s="2">
        <f>C6</f>
        <v>0</v>
      </c>
      <c r="U5" s="1" t="s">
        <v>4</v>
      </c>
      <c r="V5" s="1">
        <v>4</v>
      </c>
      <c r="W5" s="28"/>
      <c r="AA5" s="10"/>
    </row>
    <row r="6" spans="1:41" x14ac:dyDescent="0.3">
      <c r="A6" s="98" t="s">
        <v>1</v>
      </c>
      <c r="B6" s="99"/>
      <c r="C6" s="50"/>
      <c r="D6" s="48"/>
      <c r="E6" s="100" t="s">
        <v>3</v>
      </c>
      <c r="F6" s="100"/>
      <c r="G6" s="51"/>
      <c r="H6" s="48"/>
      <c r="I6" s="100" t="s">
        <v>12</v>
      </c>
      <c r="J6" s="100"/>
      <c r="K6" s="101"/>
      <c r="L6" s="102"/>
      <c r="N6" s="27"/>
      <c r="U6" s="1" t="s">
        <v>5</v>
      </c>
      <c r="V6" s="1">
        <v>4</v>
      </c>
      <c r="W6" s="28"/>
      <c r="AA6" s="10"/>
      <c r="AD6" s="29"/>
      <c r="AE6" s="29"/>
      <c r="AF6" s="4"/>
      <c r="AH6" s="29"/>
      <c r="AI6" s="29"/>
      <c r="AJ6" s="29"/>
      <c r="AL6" s="29"/>
      <c r="AM6" s="29"/>
      <c r="AN6" s="4"/>
      <c r="AO6" s="4"/>
    </row>
    <row r="7" spans="1:41" x14ac:dyDescent="0.3">
      <c r="A7" s="47"/>
      <c r="B7" s="48"/>
      <c r="C7" s="48"/>
      <c r="D7" s="48"/>
      <c r="E7" s="48"/>
      <c r="F7" s="48"/>
      <c r="G7" s="48"/>
      <c r="H7" s="48"/>
      <c r="I7" s="48"/>
      <c r="J7" s="48"/>
      <c r="K7" s="48"/>
      <c r="L7" s="49"/>
      <c r="N7" s="27"/>
      <c r="P7" s="100" t="s">
        <v>3</v>
      </c>
      <c r="Q7" s="100"/>
      <c r="R7" s="3">
        <f>G6</f>
        <v>0</v>
      </c>
      <c r="S7" s="29"/>
      <c r="U7" s="1" t="s">
        <v>6</v>
      </c>
      <c r="V7" s="1">
        <v>3.7</v>
      </c>
      <c r="W7" s="30"/>
      <c r="AA7" s="10"/>
    </row>
    <row r="8" spans="1:41" ht="15" thickBot="1" x14ac:dyDescent="0.35">
      <c r="A8" s="52"/>
      <c r="B8" s="53"/>
      <c r="C8" s="53"/>
      <c r="D8" s="53"/>
      <c r="E8" s="48"/>
      <c r="F8" s="48"/>
      <c r="G8" s="48"/>
      <c r="H8" s="48"/>
      <c r="I8" s="48"/>
      <c r="J8" s="48"/>
      <c r="K8" s="48"/>
      <c r="L8" s="49"/>
      <c r="N8" s="27"/>
      <c r="U8" s="1" t="s">
        <v>7</v>
      </c>
      <c r="V8" s="1">
        <v>3.3</v>
      </c>
      <c r="W8" s="31"/>
      <c r="AA8" s="10"/>
      <c r="AD8" s="29"/>
      <c r="AE8" s="29"/>
      <c r="AF8" s="29"/>
      <c r="AG8" s="29"/>
    </row>
    <row r="9" spans="1:41" ht="14.4" customHeight="1" x14ac:dyDescent="0.3">
      <c r="A9" s="47"/>
      <c r="B9" s="109" t="s">
        <v>38</v>
      </c>
      <c r="C9" s="110"/>
      <c r="D9" s="111"/>
      <c r="E9" s="48"/>
      <c r="F9" s="109"/>
      <c r="G9" s="110"/>
      <c r="H9" s="111"/>
      <c r="I9" s="48"/>
      <c r="J9" s="48"/>
      <c r="K9" s="48"/>
      <c r="L9" s="49"/>
      <c r="N9" s="27"/>
      <c r="P9" s="100" t="s">
        <v>12</v>
      </c>
      <c r="Q9" s="100"/>
      <c r="R9" s="120">
        <f>K6</f>
        <v>0</v>
      </c>
      <c r="S9" s="121"/>
      <c r="U9" s="1" t="s">
        <v>8</v>
      </c>
      <c r="V9" s="1">
        <v>3</v>
      </c>
      <c r="W9" s="32"/>
      <c r="AA9" s="10"/>
    </row>
    <row r="10" spans="1:41" ht="15" customHeight="1" thickBot="1" x14ac:dyDescent="0.35">
      <c r="A10" s="52"/>
      <c r="B10" s="112"/>
      <c r="C10" s="113"/>
      <c r="D10" s="114"/>
      <c r="E10" s="48"/>
      <c r="F10" s="112"/>
      <c r="G10" s="113"/>
      <c r="H10" s="114"/>
      <c r="I10" s="48"/>
      <c r="J10" s="48"/>
      <c r="K10" s="48"/>
      <c r="L10" s="49"/>
      <c r="N10" s="27"/>
      <c r="P10" s="4"/>
      <c r="Q10" s="4"/>
      <c r="U10" s="1" t="s">
        <v>9</v>
      </c>
      <c r="V10" s="1">
        <v>2.7</v>
      </c>
      <c r="W10" s="33"/>
      <c r="AA10" s="10"/>
      <c r="AD10" s="29"/>
      <c r="AE10" s="29"/>
      <c r="AF10" s="4"/>
      <c r="AG10" s="4"/>
    </row>
    <row r="11" spans="1:41" x14ac:dyDescent="0.3">
      <c r="A11" s="47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9"/>
      <c r="N11" s="27"/>
      <c r="P11" s="4"/>
      <c r="Q11" s="4"/>
      <c r="R11" s="4"/>
      <c r="S11" s="4"/>
      <c r="U11" s="1" t="s">
        <v>10</v>
      </c>
      <c r="V11" s="1">
        <v>2.2999999999999998</v>
      </c>
      <c r="W11" s="34"/>
      <c r="AA11" s="10"/>
    </row>
    <row r="12" spans="1:41" ht="15" thickBot="1" x14ac:dyDescent="0.35">
      <c r="A12" s="47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9"/>
      <c r="N12" s="27"/>
      <c r="P12" s="4"/>
      <c r="Q12" s="4"/>
      <c r="R12" s="4"/>
      <c r="S12" s="4"/>
      <c r="U12" s="1" t="s">
        <v>11</v>
      </c>
      <c r="V12" s="1">
        <v>2</v>
      </c>
      <c r="W12" s="35"/>
      <c r="AA12" s="10"/>
    </row>
    <row r="13" spans="1:41" x14ac:dyDescent="0.3">
      <c r="A13" s="47"/>
      <c r="B13" s="109" t="s">
        <v>39</v>
      </c>
      <c r="C13" s="110"/>
      <c r="D13" s="111"/>
      <c r="E13" s="48"/>
      <c r="F13" s="109"/>
      <c r="G13" s="110"/>
      <c r="H13" s="111"/>
      <c r="I13" s="48"/>
      <c r="J13" s="48"/>
      <c r="K13" s="48"/>
      <c r="L13" s="49"/>
      <c r="N13" s="27"/>
      <c r="P13" s="4"/>
      <c r="Q13" s="4"/>
      <c r="R13" s="4"/>
      <c r="U13" s="1" t="s">
        <v>18</v>
      </c>
      <c r="V13" s="1">
        <v>1.7</v>
      </c>
      <c r="W13" s="36"/>
      <c r="AA13" s="10"/>
    </row>
    <row r="14" spans="1:41" ht="15" thickBot="1" x14ac:dyDescent="0.35">
      <c r="A14" s="47"/>
      <c r="B14" s="112"/>
      <c r="C14" s="113"/>
      <c r="D14" s="114"/>
      <c r="E14" s="48"/>
      <c r="F14" s="112"/>
      <c r="G14" s="113"/>
      <c r="H14" s="114"/>
      <c r="I14" s="48"/>
      <c r="J14" s="48"/>
      <c r="K14" s="48"/>
      <c r="L14" s="49"/>
      <c r="N14" s="27"/>
      <c r="P14" s="4"/>
      <c r="Q14" s="4"/>
      <c r="R14" s="4"/>
      <c r="U14" s="1" t="s">
        <v>42</v>
      </c>
      <c r="V14" s="1">
        <v>1.3</v>
      </c>
      <c r="W14" s="37"/>
      <c r="AA14" s="10"/>
    </row>
    <row r="15" spans="1:41" x14ac:dyDescent="0.3">
      <c r="A15" s="47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9"/>
      <c r="N15" s="27"/>
      <c r="P15" s="4"/>
      <c r="Q15" s="4"/>
      <c r="R15" s="4"/>
      <c r="U15" s="1" t="s">
        <v>43</v>
      </c>
      <c r="V15" s="1">
        <v>1</v>
      </c>
      <c r="W15" s="38"/>
      <c r="AA15" s="10"/>
    </row>
    <row r="16" spans="1:41" ht="15" thickBot="1" x14ac:dyDescent="0.35">
      <c r="A16" s="47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9"/>
      <c r="N16" s="27"/>
      <c r="P16" s="4"/>
      <c r="Q16" s="4"/>
      <c r="R16" s="4"/>
      <c r="U16" s="1" t="s">
        <v>17</v>
      </c>
      <c r="V16" s="1">
        <v>0</v>
      </c>
      <c r="W16" s="38"/>
      <c r="AA16" s="10"/>
    </row>
    <row r="17" spans="1:41" x14ac:dyDescent="0.3">
      <c r="A17" s="47"/>
      <c r="B17" s="109" t="s">
        <v>40</v>
      </c>
      <c r="C17" s="110"/>
      <c r="D17" s="111"/>
      <c r="E17" s="48"/>
      <c r="F17" s="109" t="s">
        <v>25</v>
      </c>
      <c r="G17" s="115"/>
      <c r="H17" s="116"/>
      <c r="I17" s="48"/>
      <c r="J17" s="48"/>
      <c r="K17" s="48"/>
      <c r="L17" s="49"/>
      <c r="N17" s="27"/>
      <c r="P17" s="4"/>
      <c r="Q17" s="4"/>
      <c r="R17" s="4"/>
      <c r="U17" s="1" t="s">
        <v>25</v>
      </c>
      <c r="V17" s="1">
        <v>0</v>
      </c>
      <c r="W17" s="38"/>
      <c r="AA17" s="10"/>
    </row>
    <row r="18" spans="1:41" ht="15" thickBot="1" x14ac:dyDescent="0.35">
      <c r="A18" s="47"/>
      <c r="B18" s="112"/>
      <c r="C18" s="113"/>
      <c r="D18" s="114"/>
      <c r="E18" s="48"/>
      <c r="F18" s="117"/>
      <c r="G18" s="118"/>
      <c r="H18" s="119"/>
      <c r="I18" s="48"/>
      <c r="J18" s="48"/>
      <c r="K18" s="48"/>
      <c r="L18" s="49"/>
      <c r="N18" s="27"/>
      <c r="AA18" s="10"/>
    </row>
    <row r="19" spans="1:41" ht="15" thickBot="1" x14ac:dyDescent="0.35">
      <c r="A19" s="47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9"/>
      <c r="N19" s="27"/>
      <c r="O19" s="122" t="s">
        <v>21</v>
      </c>
      <c r="P19" s="125"/>
      <c r="Q19" s="125"/>
      <c r="R19" s="125"/>
      <c r="S19" s="125"/>
      <c r="T19" s="125"/>
      <c r="U19" s="125"/>
      <c r="V19" s="125"/>
      <c r="W19" s="126"/>
      <c r="X19" s="137" t="s">
        <v>27</v>
      </c>
      <c r="Y19" s="138"/>
      <c r="Z19" s="139"/>
      <c r="AA19" s="10"/>
    </row>
    <row r="20" spans="1:41" ht="15" thickBot="1" x14ac:dyDescent="0.35">
      <c r="A20" s="47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9"/>
      <c r="N20" s="27"/>
      <c r="O20" s="123"/>
      <c r="P20" s="80" t="s">
        <v>38</v>
      </c>
      <c r="Q20" s="81"/>
      <c r="R20" s="127" t="s">
        <v>13</v>
      </c>
      <c r="S20" s="127"/>
      <c r="T20" s="7" t="s">
        <v>15</v>
      </c>
      <c r="U20" s="7" t="s">
        <v>16</v>
      </c>
      <c r="V20" s="7" t="s">
        <v>14</v>
      </c>
      <c r="W20" s="8"/>
      <c r="X20" s="18" t="s">
        <v>28</v>
      </c>
      <c r="Y20" s="19" t="s">
        <v>29</v>
      </c>
      <c r="Z20" s="20" t="s">
        <v>30</v>
      </c>
      <c r="AA20" s="10"/>
    </row>
    <row r="21" spans="1:41" x14ac:dyDescent="0.3">
      <c r="A21" s="47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9"/>
      <c r="N21" s="27"/>
      <c r="O21" s="123"/>
      <c r="P21" s="70" t="str">
        <f>IFERROR(Sheet1!E2,"0")</f>
        <v>0</v>
      </c>
      <c r="Q21" s="71"/>
      <c r="R21" s="69">
        <f>IFERROR(Sheet1!F2,"")</f>
        <v>0</v>
      </c>
      <c r="S21" s="69"/>
      <c r="T21" s="17">
        <f>IFERROR(Sheet1!G2,"NA")</f>
        <v>0</v>
      </c>
      <c r="U21" s="13">
        <f>IFERROR(VALUE(RIGHT(P21,1)),"0")</f>
        <v>0</v>
      </c>
      <c r="V21" s="13" t="str">
        <f>IFERROR(VLOOKUP(T21,$U$5:$V$17,2,FALSE),"")</f>
        <v/>
      </c>
      <c r="W21" s="14" t="str">
        <f>IFERROR((U21*V21),"0")</f>
        <v>0</v>
      </c>
      <c r="X21" s="140"/>
      <c r="Y21" s="140"/>
      <c r="Z21" s="140"/>
      <c r="AA21" s="10"/>
    </row>
    <row r="22" spans="1:41" ht="15" thickBot="1" x14ac:dyDescent="0.35">
      <c r="A22" s="54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6"/>
      <c r="N22" s="27"/>
      <c r="O22" s="123"/>
      <c r="P22" s="70">
        <f>IFERROR(Sheet1!E3,"0")</f>
        <v>0</v>
      </c>
      <c r="Q22" s="71"/>
      <c r="R22" s="69">
        <f>IFERROR(Sheet1!F3,"")</f>
        <v>0</v>
      </c>
      <c r="S22" s="69"/>
      <c r="T22" s="17">
        <f>IFERROR(Sheet1!G3,"NA")</f>
        <v>0</v>
      </c>
      <c r="U22" s="13">
        <f t="shared" ref="U22:U41" si="0">IFERROR(VALUE(RIGHT(P22,1)),"0")</f>
        <v>0</v>
      </c>
      <c r="V22" s="13" t="str">
        <f t="shared" ref="V22:V41" si="1">IFERROR(VLOOKUP(T22,$U$5:$V$17,2,FALSE),"")</f>
        <v/>
      </c>
      <c r="W22" s="14" t="str">
        <f t="shared" ref="W22:W41" si="2">IFERROR((U22*V22),"0")</f>
        <v>0</v>
      </c>
      <c r="X22" s="141"/>
      <c r="Y22" s="141"/>
      <c r="Z22" s="141"/>
      <c r="AA22" s="10"/>
    </row>
    <row r="23" spans="1:41" x14ac:dyDescent="0.3">
      <c r="A23" s="103" t="s">
        <v>37</v>
      </c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5"/>
      <c r="N23" s="27"/>
      <c r="O23" s="123"/>
      <c r="P23" s="70">
        <f>IFERROR(Sheet1!E4,"0")</f>
        <v>0</v>
      </c>
      <c r="Q23" s="71"/>
      <c r="R23" s="69">
        <f>IFERROR(Sheet1!F4,"")</f>
        <v>0</v>
      </c>
      <c r="S23" s="69"/>
      <c r="T23" s="17">
        <f>IFERROR(Sheet1!G4,"NA")</f>
        <v>0</v>
      </c>
      <c r="U23" s="13">
        <f t="shared" si="0"/>
        <v>0</v>
      </c>
      <c r="V23" s="13" t="str">
        <f t="shared" si="1"/>
        <v/>
      </c>
      <c r="W23" s="14" t="str">
        <f t="shared" si="2"/>
        <v>0</v>
      </c>
      <c r="X23" s="141"/>
      <c r="Y23" s="141"/>
      <c r="Z23" s="141"/>
      <c r="AA23" s="10"/>
    </row>
    <row r="24" spans="1:41" ht="15" thickBot="1" x14ac:dyDescent="0.35">
      <c r="A24" s="106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8"/>
      <c r="N24" s="27"/>
      <c r="O24" s="123"/>
      <c r="P24" s="70">
        <f>IFERROR(Sheet1!E5,"0")</f>
        <v>0</v>
      </c>
      <c r="Q24" s="71"/>
      <c r="R24" s="69">
        <f>IFERROR(Sheet1!F5,"")</f>
        <v>0</v>
      </c>
      <c r="S24" s="69"/>
      <c r="T24" s="17">
        <f>IFERROR(Sheet1!G5,"NA")</f>
        <v>0</v>
      </c>
      <c r="U24" s="13">
        <f t="shared" si="0"/>
        <v>0</v>
      </c>
      <c r="V24" s="13" t="str">
        <f t="shared" si="1"/>
        <v/>
      </c>
      <c r="W24" s="14" t="str">
        <f t="shared" si="2"/>
        <v>0</v>
      </c>
      <c r="X24" s="141"/>
      <c r="Y24" s="141"/>
      <c r="Z24" s="141"/>
      <c r="AA24" s="10"/>
    </row>
    <row r="25" spans="1:41" x14ac:dyDescent="0.3">
      <c r="A25" s="25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26"/>
      <c r="N25" s="27"/>
      <c r="O25" s="123"/>
      <c r="P25" s="70">
        <f>IFERROR(Sheet1!E6,"0")</f>
        <v>0</v>
      </c>
      <c r="Q25" s="71"/>
      <c r="R25" s="69">
        <f>IFERROR(Sheet1!F6,"")</f>
        <v>0</v>
      </c>
      <c r="S25" s="69"/>
      <c r="T25" s="17">
        <f>IFERROR(Sheet1!G6,"NA")</f>
        <v>0</v>
      </c>
      <c r="U25" s="13">
        <f t="shared" si="0"/>
        <v>0</v>
      </c>
      <c r="V25" s="13" t="str">
        <f t="shared" si="1"/>
        <v/>
      </c>
      <c r="W25" s="14" t="str">
        <f t="shared" si="2"/>
        <v>0</v>
      </c>
      <c r="X25" s="141"/>
      <c r="Y25" s="141"/>
      <c r="Z25" s="141"/>
      <c r="AA25" s="10"/>
    </row>
    <row r="26" spans="1:41" x14ac:dyDescent="0.3">
      <c r="A26" s="27"/>
      <c r="L26" s="10"/>
      <c r="N26" s="27"/>
      <c r="O26" s="123"/>
      <c r="P26" s="70">
        <f>IFERROR(Sheet1!E7,"0")</f>
        <v>0</v>
      </c>
      <c r="Q26" s="71"/>
      <c r="R26" s="69">
        <f>IFERROR(Sheet1!F7,"")</f>
        <v>0</v>
      </c>
      <c r="S26" s="69"/>
      <c r="T26" s="17">
        <f>IFERROR(Sheet1!G7,"NA")</f>
        <v>0</v>
      </c>
      <c r="U26" s="13">
        <f t="shared" si="0"/>
        <v>0</v>
      </c>
      <c r="V26" s="13" t="str">
        <f t="shared" si="1"/>
        <v/>
      </c>
      <c r="W26" s="14" t="str">
        <f t="shared" si="2"/>
        <v>0</v>
      </c>
      <c r="X26" s="141"/>
      <c r="Y26" s="141"/>
      <c r="Z26" s="141"/>
      <c r="AA26" s="10"/>
    </row>
    <row r="27" spans="1:41" ht="15" thickBot="1" x14ac:dyDescent="0.35">
      <c r="A27" s="27"/>
      <c r="L27" s="10"/>
      <c r="N27" s="27"/>
      <c r="O27" s="123"/>
      <c r="P27" s="70">
        <f>IFERROR(Sheet1!E8,"0")</f>
        <v>0</v>
      </c>
      <c r="Q27" s="71"/>
      <c r="R27" s="69">
        <f>IFERROR(Sheet1!F8,"")</f>
        <v>0</v>
      </c>
      <c r="S27" s="69"/>
      <c r="T27" s="17">
        <f>IFERROR(Sheet1!G8,"NA")</f>
        <v>0</v>
      </c>
      <c r="U27" s="13">
        <f t="shared" si="0"/>
        <v>0</v>
      </c>
      <c r="V27" s="13" t="str">
        <f t="shared" si="1"/>
        <v/>
      </c>
      <c r="W27" s="14" t="str">
        <f t="shared" si="2"/>
        <v>0</v>
      </c>
      <c r="X27" s="141"/>
      <c r="Y27" s="141"/>
      <c r="Z27" s="141"/>
      <c r="AA27" s="10"/>
    </row>
    <row r="28" spans="1:41" ht="15" thickBot="1" x14ac:dyDescent="0.35">
      <c r="A28" s="27"/>
      <c r="H28" s="87" t="s">
        <v>33</v>
      </c>
      <c r="I28" s="85"/>
      <c r="J28" s="85" t="str">
        <f>X42</f>
        <v>0</v>
      </c>
      <c r="K28" s="86"/>
      <c r="L28" s="10"/>
      <c r="N28" s="27"/>
      <c r="O28" s="123"/>
      <c r="P28" s="70">
        <f>IFERROR(Sheet1!E9,"0")</f>
        <v>0</v>
      </c>
      <c r="Q28" s="71"/>
      <c r="R28" s="69">
        <f>IFERROR(Sheet1!F9,"")</f>
        <v>0</v>
      </c>
      <c r="S28" s="69"/>
      <c r="T28" s="17">
        <f>IFERROR(Sheet1!G9,"NA")</f>
        <v>0</v>
      </c>
      <c r="U28" s="13">
        <f t="shared" si="0"/>
        <v>0</v>
      </c>
      <c r="V28" s="13" t="str">
        <f t="shared" si="1"/>
        <v/>
      </c>
      <c r="W28" s="14" t="str">
        <f t="shared" si="2"/>
        <v>0</v>
      </c>
      <c r="X28" s="141"/>
      <c r="Y28" s="141"/>
      <c r="Z28" s="141"/>
      <c r="AA28" s="10"/>
    </row>
    <row r="29" spans="1:41" ht="15" thickBot="1" x14ac:dyDescent="0.35">
      <c r="A29" s="27"/>
      <c r="B29" s="82" t="s">
        <v>19</v>
      </c>
      <c r="C29" s="83"/>
      <c r="D29" s="82">
        <f>R114</f>
        <v>0</v>
      </c>
      <c r="E29" s="83"/>
      <c r="F29" s="4"/>
      <c r="H29" s="87" t="s">
        <v>34</v>
      </c>
      <c r="I29" s="85"/>
      <c r="J29" s="85" t="str">
        <f>X64</f>
        <v>0</v>
      </c>
      <c r="K29" s="86"/>
      <c r="L29" s="10"/>
      <c r="N29" s="27"/>
      <c r="O29" s="123"/>
      <c r="P29" s="70">
        <f>IFERROR(Sheet1!E10,"0")</f>
        <v>0</v>
      </c>
      <c r="Q29" s="71"/>
      <c r="R29" s="69">
        <f>IFERROR(Sheet1!F10,"")</f>
        <v>0</v>
      </c>
      <c r="S29" s="69"/>
      <c r="T29" s="17">
        <f>IFERROR(Sheet1!G10,"NA")</f>
        <v>0</v>
      </c>
      <c r="U29" s="13">
        <f t="shared" si="0"/>
        <v>0</v>
      </c>
      <c r="V29" s="13" t="str">
        <f t="shared" si="1"/>
        <v/>
      </c>
      <c r="W29" s="14" t="str">
        <f t="shared" si="2"/>
        <v>0</v>
      </c>
      <c r="X29" s="141"/>
      <c r="Y29" s="141"/>
      <c r="Z29" s="141"/>
      <c r="AA29" s="10"/>
    </row>
    <row r="30" spans="1:41" ht="15" thickBot="1" x14ac:dyDescent="0.35">
      <c r="A30" s="27"/>
      <c r="B30" s="4"/>
      <c r="C30" s="4"/>
      <c r="D30" s="4"/>
      <c r="E30" s="4"/>
      <c r="F30" s="4"/>
      <c r="H30" s="87" t="s">
        <v>35</v>
      </c>
      <c r="I30" s="85"/>
      <c r="J30" s="85" t="str">
        <f>X86</f>
        <v>0</v>
      </c>
      <c r="K30" s="86"/>
      <c r="L30" s="10"/>
      <c r="N30" s="27"/>
      <c r="O30" s="123"/>
      <c r="P30" s="70">
        <f>IFERROR(Sheet1!E11,"0")</f>
        <v>0</v>
      </c>
      <c r="Q30" s="71"/>
      <c r="R30" s="69">
        <f>IFERROR(Sheet1!F11,"")</f>
        <v>0</v>
      </c>
      <c r="S30" s="69"/>
      <c r="T30" s="17">
        <f>IFERROR(Sheet1!G11,"NA")</f>
        <v>0</v>
      </c>
      <c r="U30" s="13">
        <f t="shared" si="0"/>
        <v>0</v>
      </c>
      <c r="V30" s="13" t="str">
        <f t="shared" si="1"/>
        <v/>
      </c>
      <c r="W30" s="14" t="str">
        <f t="shared" si="2"/>
        <v>0</v>
      </c>
      <c r="X30" s="141"/>
      <c r="Y30" s="141"/>
      <c r="Z30" s="141"/>
      <c r="AA30" s="10"/>
    </row>
    <row r="31" spans="1:41" ht="15" thickBot="1" x14ac:dyDescent="0.35">
      <c r="A31" s="27"/>
      <c r="B31" s="82" t="s">
        <v>20</v>
      </c>
      <c r="C31" s="88"/>
      <c r="D31" s="83"/>
      <c r="E31" s="82">
        <f>S116</f>
        <v>0</v>
      </c>
      <c r="F31" s="83"/>
      <c r="H31" s="87" t="s">
        <v>36</v>
      </c>
      <c r="I31" s="85"/>
      <c r="J31" s="85" t="str">
        <f>X108</f>
        <v>0</v>
      </c>
      <c r="K31" s="86"/>
      <c r="L31" s="10"/>
      <c r="N31" s="27"/>
      <c r="O31" s="123"/>
      <c r="P31" s="70">
        <f>IFERROR(Sheet1!E12,"0")</f>
        <v>0</v>
      </c>
      <c r="Q31" s="71"/>
      <c r="R31" s="69">
        <f>IFERROR(Sheet1!F12,"")</f>
        <v>0</v>
      </c>
      <c r="S31" s="69"/>
      <c r="T31" s="17">
        <f>IFERROR(Sheet1!G12,"NA")</f>
        <v>0</v>
      </c>
      <c r="U31" s="13">
        <f t="shared" si="0"/>
        <v>0</v>
      </c>
      <c r="V31" s="13" t="str">
        <f t="shared" si="1"/>
        <v/>
      </c>
      <c r="W31" s="14" t="str">
        <f t="shared" si="2"/>
        <v>0</v>
      </c>
      <c r="X31" s="141"/>
      <c r="Y31" s="141"/>
      <c r="Z31" s="141"/>
      <c r="AA31" s="10"/>
    </row>
    <row r="32" spans="1:41" ht="14.4" customHeight="1" thickBot="1" x14ac:dyDescent="0.65">
      <c r="A32" s="27"/>
      <c r="B32" s="4"/>
      <c r="C32" s="4"/>
      <c r="D32" s="4"/>
      <c r="E32" s="4"/>
      <c r="F32" s="4"/>
      <c r="L32" s="10"/>
      <c r="N32" s="27"/>
      <c r="O32" s="123"/>
      <c r="P32" s="70">
        <f>IFERROR(Sheet1!E13,"0")</f>
        <v>0</v>
      </c>
      <c r="Q32" s="71"/>
      <c r="R32" s="69">
        <f>IFERROR(Sheet1!F13,"")</f>
        <v>0</v>
      </c>
      <c r="S32" s="69"/>
      <c r="T32" s="17">
        <f>IFERROR(Sheet1!G13,"NA")</f>
        <v>0</v>
      </c>
      <c r="U32" s="13">
        <f t="shared" si="0"/>
        <v>0</v>
      </c>
      <c r="V32" s="13" t="str">
        <f t="shared" si="1"/>
        <v/>
      </c>
      <c r="W32" s="14" t="str">
        <f t="shared" si="2"/>
        <v>0</v>
      </c>
      <c r="X32" s="141"/>
      <c r="Y32" s="141"/>
      <c r="Z32" s="141"/>
      <c r="AA32" s="10"/>
      <c r="AD32" s="44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</row>
    <row r="33" spans="1:41" ht="15" customHeight="1" thickBot="1" x14ac:dyDescent="0.65">
      <c r="A33" s="27"/>
      <c r="B33" s="82" t="s">
        <v>31</v>
      </c>
      <c r="C33" s="83"/>
      <c r="D33" s="82" t="str">
        <f>R118</f>
        <v>0</v>
      </c>
      <c r="E33" s="84"/>
      <c r="F33" s="77" t="str" cm="1">
        <f t="array" ref="F33">IFERROR(_xlfn.IFS(D33&gt;=3.7,"1st CLASS",D33&gt;=3.3,"2nd UPPER",D33&gt;=3,"2nd LOWER",D33&gt;=2.5,"PASS",D33&gt;=0,"CAN NOT GET THE DEGREEE"),"CAN NOT GET THE DEGREEE")</f>
        <v>1st CLASS</v>
      </c>
      <c r="G33" s="78"/>
      <c r="H33" s="78"/>
      <c r="I33" s="79"/>
      <c r="L33" s="10"/>
      <c r="N33" s="27"/>
      <c r="O33" s="123"/>
      <c r="P33" s="70">
        <f>IFERROR(Sheet1!E14,"0")</f>
        <v>0</v>
      </c>
      <c r="Q33" s="71"/>
      <c r="R33" s="69">
        <f>IFERROR(Sheet1!F14,"")</f>
        <v>0</v>
      </c>
      <c r="S33" s="69"/>
      <c r="T33" s="17">
        <f>IFERROR(Sheet1!G14,"NA")</f>
        <v>0</v>
      </c>
      <c r="U33" s="13">
        <f t="shared" si="0"/>
        <v>0</v>
      </c>
      <c r="V33" s="13" t="str">
        <f t="shared" si="1"/>
        <v/>
      </c>
      <c r="W33" s="14" t="str">
        <f t="shared" si="2"/>
        <v>0</v>
      </c>
      <c r="X33" s="141"/>
      <c r="Y33" s="141"/>
      <c r="Z33" s="141"/>
      <c r="AA33" s="10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</row>
    <row r="34" spans="1:41" ht="15" thickBot="1" x14ac:dyDescent="0.35">
      <c r="A34" s="27"/>
      <c r="F34" s="74"/>
      <c r="G34" s="74"/>
      <c r="H34" s="74"/>
      <c r="I34" s="74"/>
      <c r="L34" s="10"/>
      <c r="N34" s="27"/>
      <c r="O34" s="123"/>
      <c r="P34" s="70">
        <f>IFERROR(Sheet1!E15,"0")</f>
        <v>0</v>
      </c>
      <c r="Q34" s="71"/>
      <c r="R34" s="69">
        <f>IFERROR(Sheet1!F15,"")</f>
        <v>0</v>
      </c>
      <c r="S34" s="69"/>
      <c r="T34" s="17">
        <f>IFERROR(Sheet1!G15,"NA")</f>
        <v>0</v>
      </c>
      <c r="U34" s="13">
        <f t="shared" si="0"/>
        <v>0</v>
      </c>
      <c r="V34" s="13" t="str">
        <f t="shared" si="1"/>
        <v/>
      </c>
      <c r="W34" s="14" t="str">
        <f t="shared" si="2"/>
        <v>0</v>
      </c>
      <c r="X34" s="141"/>
      <c r="Y34" s="141"/>
      <c r="Z34" s="141"/>
      <c r="AA34" s="10"/>
    </row>
    <row r="35" spans="1:41" ht="15" thickBot="1" x14ac:dyDescent="0.35">
      <c r="A35" s="27"/>
      <c r="B35" s="75" t="s">
        <v>24</v>
      </c>
      <c r="C35" s="76"/>
      <c r="D35" s="75">
        <f>R120</f>
        <v>0</v>
      </c>
      <c r="E35" s="76"/>
      <c r="F35" s="77" t="str" cm="1">
        <f t="array" ref="F35">_xlfn.IFS(D35&gt;=3.7,"1st CLASS",D35&gt;=3.3,"2nd UPPER",D35&gt;=3,"2nd LOWER",D35&gt;=2.5,"PASS",D35&gt;=0,"CAN NOT GET THE DEGREEE")</f>
        <v>CAN NOT GET THE DEGREEE</v>
      </c>
      <c r="G35" s="78"/>
      <c r="H35" s="78"/>
      <c r="I35" s="79"/>
      <c r="L35" s="10"/>
      <c r="N35" s="27"/>
      <c r="O35" s="123"/>
      <c r="P35" s="70">
        <f>IFERROR(Sheet1!E16,"0")</f>
        <v>0</v>
      </c>
      <c r="Q35" s="71"/>
      <c r="R35" s="69">
        <f>IFERROR(Sheet1!F16,"")</f>
        <v>0</v>
      </c>
      <c r="S35" s="69"/>
      <c r="T35" s="17">
        <f>IFERROR(Sheet1!G16,"NA")</f>
        <v>0</v>
      </c>
      <c r="U35" s="13">
        <f t="shared" si="0"/>
        <v>0</v>
      </c>
      <c r="V35" s="13" t="str">
        <f t="shared" si="1"/>
        <v/>
      </c>
      <c r="W35" s="14" t="str">
        <f t="shared" si="2"/>
        <v>0</v>
      </c>
      <c r="X35" s="141"/>
      <c r="Y35" s="141"/>
      <c r="Z35" s="141"/>
      <c r="AA35" s="10"/>
    </row>
    <row r="36" spans="1:41" ht="15" thickBot="1" x14ac:dyDescent="0.35">
      <c r="A36" s="27"/>
      <c r="F36" s="74"/>
      <c r="G36" s="74"/>
      <c r="H36" s="74"/>
      <c r="I36" s="74"/>
      <c r="L36" s="10"/>
      <c r="N36" s="27"/>
      <c r="O36" s="123"/>
      <c r="P36" s="70">
        <f>IFERROR(Sheet1!E17,"0")</f>
        <v>0</v>
      </c>
      <c r="Q36" s="71"/>
      <c r="R36" s="69">
        <f>IFERROR(Sheet1!F17,"")</f>
        <v>0</v>
      </c>
      <c r="S36" s="69"/>
      <c r="T36" s="17">
        <f>IFERROR(Sheet1!G17,"NA")</f>
        <v>0</v>
      </c>
      <c r="U36" s="13">
        <f t="shared" si="0"/>
        <v>0</v>
      </c>
      <c r="V36" s="13" t="str">
        <f t="shared" si="1"/>
        <v/>
      </c>
      <c r="W36" s="14" t="str">
        <f t="shared" si="2"/>
        <v>0</v>
      </c>
      <c r="X36" s="141"/>
      <c r="Y36" s="141"/>
      <c r="Z36" s="141"/>
      <c r="AA36" s="10"/>
    </row>
    <row r="37" spans="1:41" ht="15" thickBot="1" x14ac:dyDescent="0.35">
      <c r="A37" s="27"/>
      <c r="B37" s="75" t="s">
        <v>32</v>
      </c>
      <c r="C37" s="76"/>
      <c r="D37" s="75">
        <f>R122</f>
        <v>0</v>
      </c>
      <c r="E37" s="76"/>
      <c r="F37" s="77" t="str" cm="1">
        <f t="array" ref="F37">_xlfn.IFS(D37&gt;=3.7,"1st CLASS",D37&gt;=3.3,"2nd UPPER",D37&gt;=3,"2nd LOWER",D37&gt;=2.5,"PASS",D37&gt;=0,"CAN NOT GET THE DEGREEE")</f>
        <v>CAN NOT GET THE DEGREEE</v>
      </c>
      <c r="G37" s="78"/>
      <c r="H37" s="78"/>
      <c r="I37" s="79"/>
      <c r="L37" s="10"/>
      <c r="N37" s="27"/>
      <c r="O37" s="123"/>
      <c r="P37" s="70">
        <f>IFERROR(Sheet1!E18,"0")</f>
        <v>0</v>
      </c>
      <c r="Q37" s="71"/>
      <c r="R37" s="69">
        <f>IFERROR(Sheet1!F18,"")</f>
        <v>0</v>
      </c>
      <c r="S37" s="69"/>
      <c r="T37" s="17">
        <f>IFERROR(Sheet1!G18,"NA")</f>
        <v>0</v>
      </c>
      <c r="U37" s="13">
        <f t="shared" si="0"/>
        <v>0</v>
      </c>
      <c r="V37" s="13" t="str">
        <f t="shared" si="1"/>
        <v/>
      </c>
      <c r="W37" s="14" t="str">
        <f t="shared" si="2"/>
        <v>0</v>
      </c>
      <c r="X37" s="141"/>
      <c r="Y37" s="141"/>
      <c r="Z37" s="141"/>
      <c r="AA37" s="10"/>
      <c r="AK37" s="4"/>
      <c r="AL37" s="4"/>
      <c r="AM37" s="4"/>
      <c r="AN37" s="4"/>
    </row>
    <row r="38" spans="1:41" x14ac:dyDescent="0.3">
      <c r="A38" s="27"/>
      <c r="L38" s="10"/>
      <c r="N38" s="27"/>
      <c r="O38" s="123"/>
      <c r="P38" s="70">
        <f>IFERROR(Sheet1!E19,"0")</f>
        <v>0</v>
      </c>
      <c r="Q38" s="71"/>
      <c r="R38" s="69">
        <f>IFERROR(Sheet1!F19,"")</f>
        <v>0</v>
      </c>
      <c r="S38" s="69"/>
      <c r="T38" s="17">
        <f>IFERROR(Sheet1!G19,"NA")</f>
        <v>0</v>
      </c>
      <c r="U38" s="13">
        <f t="shared" si="0"/>
        <v>0</v>
      </c>
      <c r="V38" s="13" t="str">
        <f t="shared" si="1"/>
        <v/>
      </c>
      <c r="W38" s="14" t="str">
        <f t="shared" si="2"/>
        <v>0</v>
      </c>
      <c r="X38" s="141"/>
      <c r="Y38" s="141"/>
      <c r="Z38" s="141"/>
      <c r="AA38" s="10"/>
      <c r="AE38" s="4"/>
      <c r="AF38" s="4"/>
      <c r="AG38" s="4"/>
      <c r="AH38" s="4"/>
      <c r="AI38" s="4"/>
      <c r="AK38" s="4"/>
      <c r="AL38" s="4"/>
      <c r="AM38" s="4"/>
      <c r="AN38" s="4"/>
    </row>
    <row r="39" spans="1:41" ht="15" thickBot="1" x14ac:dyDescent="0.35">
      <c r="A39" s="39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1"/>
      <c r="N39" s="27"/>
      <c r="O39" s="123"/>
      <c r="P39" s="70">
        <f>IFERROR(Sheet1!E20,"0")</f>
        <v>0</v>
      </c>
      <c r="Q39" s="71"/>
      <c r="R39" s="69">
        <f>IFERROR(Sheet1!F20,"")</f>
        <v>0</v>
      </c>
      <c r="S39" s="69"/>
      <c r="T39" s="17">
        <f>IFERROR(Sheet1!G20,"NA")</f>
        <v>0</v>
      </c>
      <c r="U39" s="13">
        <f t="shared" si="0"/>
        <v>0</v>
      </c>
      <c r="V39" s="13" t="str">
        <f t="shared" si="1"/>
        <v/>
      </c>
      <c r="W39" s="14" t="str">
        <f t="shared" si="2"/>
        <v>0</v>
      </c>
      <c r="X39" s="141"/>
      <c r="Y39" s="141"/>
      <c r="Z39" s="141"/>
      <c r="AA39" s="10"/>
      <c r="AE39" s="4"/>
      <c r="AF39" s="4"/>
      <c r="AG39" s="4"/>
      <c r="AH39" s="4"/>
      <c r="AI39" s="4"/>
      <c r="AK39" s="4"/>
      <c r="AL39" s="4"/>
      <c r="AM39" s="4"/>
      <c r="AN39" s="4"/>
    </row>
    <row r="40" spans="1:41" ht="15" thickBot="1" x14ac:dyDescent="0.35">
      <c r="A40" s="174" t="s">
        <v>48</v>
      </c>
      <c r="B40" s="175"/>
      <c r="C40" s="175"/>
      <c r="D40" s="175"/>
      <c r="E40" s="175"/>
      <c r="F40" s="175"/>
      <c r="G40" s="176"/>
      <c r="H40" s="151"/>
      <c r="I40" s="152"/>
      <c r="J40" s="152"/>
      <c r="K40" s="152"/>
      <c r="L40" s="153"/>
      <c r="N40" s="27"/>
      <c r="O40" s="123"/>
      <c r="P40" s="70">
        <f>IFERROR(Sheet1!E21,"0")</f>
        <v>0</v>
      </c>
      <c r="Q40" s="71"/>
      <c r="R40" s="69">
        <f>IFERROR(Sheet1!F21,"")</f>
        <v>0</v>
      </c>
      <c r="S40" s="69"/>
      <c r="T40" s="17">
        <f>IFERROR(Sheet1!G21,"NA")</f>
        <v>0</v>
      </c>
      <c r="U40" s="13">
        <f t="shared" si="0"/>
        <v>0</v>
      </c>
      <c r="V40" s="13" t="str">
        <f t="shared" si="1"/>
        <v/>
      </c>
      <c r="W40" s="14" t="str">
        <f t="shared" si="2"/>
        <v>0</v>
      </c>
      <c r="X40" s="141"/>
      <c r="Y40" s="141"/>
      <c r="Z40" s="141"/>
      <c r="AA40" s="10"/>
      <c r="AE40" s="4"/>
      <c r="AF40" s="4"/>
      <c r="AG40" s="4"/>
      <c r="AH40" s="4"/>
      <c r="AI40" s="4"/>
      <c r="AK40" s="4"/>
      <c r="AL40" s="4"/>
      <c r="AM40" s="4"/>
      <c r="AN40" s="4"/>
    </row>
    <row r="41" spans="1:41" ht="15" thickBot="1" x14ac:dyDescent="0.35">
      <c r="A41" s="177"/>
      <c r="B41" s="178"/>
      <c r="C41" s="178"/>
      <c r="D41" s="178"/>
      <c r="E41" s="178"/>
      <c r="F41" s="178"/>
      <c r="G41" s="179"/>
      <c r="H41" s="75" t="s">
        <v>46</v>
      </c>
      <c r="I41" s="173"/>
      <c r="J41" s="173"/>
      <c r="K41" s="76"/>
      <c r="L41" s="154"/>
      <c r="N41" s="27"/>
      <c r="O41" s="124"/>
      <c r="P41" s="70">
        <f>IFERROR(Sheet1!E22,"0")</f>
        <v>0</v>
      </c>
      <c r="Q41" s="71"/>
      <c r="R41" s="69">
        <f>IFERROR(Sheet1!F22,"")</f>
        <v>0</v>
      </c>
      <c r="S41" s="69"/>
      <c r="T41" s="17">
        <f>IFERROR(Sheet1!G22,"NA")</f>
        <v>0</v>
      </c>
      <c r="U41" s="13">
        <f t="shared" si="0"/>
        <v>0</v>
      </c>
      <c r="V41" s="13" t="str">
        <f t="shared" si="1"/>
        <v/>
      </c>
      <c r="W41" s="14" t="str">
        <f t="shared" si="2"/>
        <v>0</v>
      </c>
      <c r="X41" s="142"/>
      <c r="Y41" s="142"/>
      <c r="Z41" s="142"/>
      <c r="AA41" s="10"/>
      <c r="AE41" s="4"/>
      <c r="AF41" s="4"/>
      <c r="AG41" s="4"/>
      <c r="AH41" s="4"/>
      <c r="AI41" s="4"/>
    </row>
    <row r="42" spans="1:41" ht="15" thickBot="1" x14ac:dyDescent="0.35">
      <c r="A42" s="149" t="s">
        <v>44</v>
      </c>
      <c r="B42" s="150"/>
      <c r="C42" s="160">
        <v>0</v>
      </c>
      <c r="D42" s="161"/>
      <c r="E42" s="151"/>
      <c r="F42" s="152"/>
      <c r="G42" s="153"/>
      <c r="H42" s="87" t="s">
        <v>44</v>
      </c>
      <c r="I42" s="85"/>
      <c r="J42" s="85">
        <f>IF(D49=0,A51*20%+D51*40%+A53*40%,(IF(J43*20%+J44*40%+J45*40%=D49,D49,"ERROR")))</f>
        <v>0</v>
      </c>
      <c r="K42" s="86"/>
      <c r="L42" s="154"/>
      <c r="N42" s="27"/>
      <c r="P42" s="72"/>
      <c r="Q42" s="73"/>
      <c r="R42" s="73"/>
      <c r="S42" s="73"/>
      <c r="T42" s="73"/>
      <c r="U42" s="15">
        <f>SUM(U21:U41)</f>
        <v>0</v>
      </c>
      <c r="V42" s="9"/>
      <c r="W42" s="16">
        <f>SUM(W21:W41)</f>
        <v>0</v>
      </c>
      <c r="X42" s="21" t="str">
        <f>IFERROR((W42/U42),"0")</f>
        <v>0</v>
      </c>
      <c r="Y42" s="22">
        <f>(X42/100)*20</f>
        <v>0</v>
      </c>
      <c r="Z42" s="22">
        <f>(X42/100)*20</f>
        <v>0</v>
      </c>
      <c r="AA42" s="10"/>
      <c r="AE42" s="4"/>
      <c r="AF42" s="4"/>
      <c r="AG42" s="4"/>
      <c r="AH42" s="4"/>
      <c r="AI42" s="46"/>
      <c r="AJ42" s="46"/>
      <c r="AK42" s="46"/>
      <c r="AL42" s="46"/>
    </row>
    <row r="43" spans="1:41" ht="15" thickBot="1" x14ac:dyDescent="0.35">
      <c r="A43" s="87" t="s">
        <v>33</v>
      </c>
      <c r="B43" s="85"/>
      <c r="C43" s="162">
        <v>0</v>
      </c>
      <c r="D43" s="163"/>
      <c r="E43" s="156"/>
      <c r="F43" s="155"/>
      <c r="G43" s="154"/>
      <c r="H43" s="87" t="s">
        <v>33</v>
      </c>
      <c r="I43" s="85"/>
      <c r="J43" s="85">
        <f>IF(A51=0,D49,A51)</f>
        <v>0</v>
      </c>
      <c r="K43" s="86"/>
      <c r="L43" s="154"/>
      <c r="N43" s="27"/>
      <c r="O43" s="122" t="s">
        <v>22</v>
      </c>
      <c r="P43" s="129"/>
      <c r="Q43" s="129"/>
      <c r="R43" s="129"/>
      <c r="S43" s="129"/>
      <c r="T43" s="129"/>
      <c r="U43" s="129"/>
      <c r="V43" s="129"/>
      <c r="W43" s="130"/>
      <c r="X43" s="131"/>
      <c r="Y43" s="131"/>
      <c r="Z43" s="131"/>
      <c r="AA43" s="10"/>
    </row>
    <row r="44" spans="1:41" ht="15" thickBot="1" x14ac:dyDescent="0.35">
      <c r="A44" s="87" t="s">
        <v>34</v>
      </c>
      <c r="B44" s="85"/>
      <c r="C44" s="162">
        <v>0</v>
      </c>
      <c r="D44" s="163"/>
      <c r="E44" s="156"/>
      <c r="F44" s="155"/>
      <c r="G44" s="154"/>
      <c r="H44" s="87" t="s">
        <v>34</v>
      </c>
      <c r="I44" s="85"/>
      <c r="J44" s="85">
        <f>IF(D51=0,(IF(A51=0,D49,(D49-(0.2*A51))/0.8)),D51)</f>
        <v>0</v>
      </c>
      <c r="K44" s="86"/>
      <c r="L44" s="154"/>
      <c r="N44" s="27"/>
      <c r="O44" s="123"/>
      <c r="P44" s="70" t="str">
        <f>IFERROR(Sheet1!H2,"0")</f>
        <v>0</v>
      </c>
      <c r="Q44" s="71"/>
      <c r="R44" s="70">
        <f>IFERROR(Sheet1!I2,"0")</f>
        <v>0</v>
      </c>
      <c r="S44" s="71"/>
      <c r="T44" s="17">
        <f>IFERROR(Sheet1!J2,"0")</f>
        <v>0</v>
      </c>
      <c r="U44" s="13">
        <f>IFERROR(VALUE(RIGHT(P44,1)),"0")</f>
        <v>0</v>
      </c>
      <c r="V44" s="13" t="str">
        <f>IFERROR(VLOOKUP(T44,$U$5:$V$17,2,FALSE),"")</f>
        <v/>
      </c>
      <c r="W44" s="14" t="str">
        <f>IFERROR((U44*V44),"0")</f>
        <v>0</v>
      </c>
      <c r="X44" s="132"/>
      <c r="Y44" s="132"/>
      <c r="Z44" s="132"/>
      <c r="AA44" s="10"/>
      <c r="AE44" s="4"/>
      <c r="AF44" s="4"/>
      <c r="AG44" s="4"/>
      <c r="AH44" s="4"/>
      <c r="AI44" s="46"/>
      <c r="AJ44" s="46"/>
      <c r="AK44" s="46"/>
      <c r="AL44" s="46"/>
    </row>
    <row r="45" spans="1:41" ht="15" thickBot="1" x14ac:dyDescent="0.35">
      <c r="A45" s="75" t="s">
        <v>35</v>
      </c>
      <c r="B45" s="164"/>
      <c r="C45" s="162">
        <v>0</v>
      </c>
      <c r="D45" s="163"/>
      <c r="E45" s="156"/>
      <c r="F45" s="155"/>
      <c r="G45" s="154"/>
      <c r="H45" s="146" t="s">
        <v>35</v>
      </c>
      <c r="I45" s="147"/>
      <c r="J45" s="147">
        <f>IF(A53=0,IF(D51=0,(IF(A51=0,D49,(D49-(0.2*A51))/0.8)),(D49-(0.2*A51)-(0.4*D51))/0.4),A53)</f>
        <v>0</v>
      </c>
      <c r="K45" s="148"/>
      <c r="L45" s="154"/>
      <c r="N45" s="27"/>
      <c r="O45" s="123"/>
      <c r="P45" s="70">
        <f>IFERROR(Sheet1!H3,"0")</f>
        <v>0</v>
      </c>
      <c r="Q45" s="71"/>
      <c r="R45" s="70">
        <f>IFERROR(Sheet1!I3,"0")</f>
        <v>0</v>
      </c>
      <c r="S45" s="71"/>
      <c r="T45" s="17">
        <f>IFERROR(Sheet1!J3,"0")</f>
        <v>0</v>
      </c>
      <c r="U45" s="13">
        <f t="shared" ref="U45:U63" si="3">IFERROR(VALUE(RIGHT(P45,1)),"0")</f>
        <v>0</v>
      </c>
      <c r="V45" s="13" t="str">
        <f t="shared" ref="V45:V63" si="4">IFERROR(VLOOKUP(T45,$U$5:$V$17,2,FALSE),"")</f>
        <v/>
      </c>
      <c r="W45" s="14" t="str">
        <f t="shared" ref="W45:W63" si="5">IFERROR((U45*V45),"0")</f>
        <v>0</v>
      </c>
      <c r="X45" s="132"/>
      <c r="Y45" s="132"/>
      <c r="Z45" s="132"/>
      <c r="AA45" s="10"/>
    </row>
    <row r="46" spans="1:41" ht="15" thickBot="1" x14ac:dyDescent="0.35">
      <c r="A46" s="145" t="s">
        <v>36</v>
      </c>
      <c r="B46" s="165"/>
      <c r="C46" s="166">
        <v>0</v>
      </c>
      <c r="D46" s="167"/>
      <c r="E46" s="157"/>
      <c r="F46" s="158"/>
      <c r="G46" s="159"/>
      <c r="H46" s="168"/>
      <c r="I46" s="168"/>
      <c r="J46" s="168"/>
      <c r="K46" s="168"/>
      <c r="L46" s="154"/>
      <c r="N46" s="27"/>
      <c r="O46" s="123"/>
      <c r="P46" s="70">
        <f>IFERROR(Sheet1!H4,"0")</f>
        <v>0</v>
      </c>
      <c r="Q46" s="71"/>
      <c r="R46" s="70">
        <f>IFERROR(Sheet1!I4,"0")</f>
        <v>0</v>
      </c>
      <c r="S46" s="71"/>
      <c r="T46" s="17">
        <f>IFERROR(Sheet1!J4,"0")</f>
        <v>0</v>
      </c>
      <c r="U46" s="13">
        <f t="shared" si="3"/>
        <v>0</v>
      </c>
      <c r="V46" s="13" t="str">
        <f t="shared" si="4"/>
        <v/>
      </c>
      <c r="W46" s="14" t="str">
        <f t="shared" si="5"/>
        <v>0</v>
      </c>
      <c r="X46" s="132"/>
      <c r="Y46" s="132"/>
      <c r="Z46" s="132"/>
      <c r="AA46" s="10"/>
    </row>
    <row r="47" spans="1:41" ht="15" thickBot="1" x14ac:dyDescent="0.35">
      <c r="A47" s="151"/>
      <c r="B47" s="152"/>
      <c r="C47" s="152"/>
      <c r="D47" s="152"/>
      <c r="E47" s="152"/>
      <c r="F47" s="152"/>
      <c r="G47" s="153"/>
      <c r="H47" s="156"/>
      <c r="I47" s="155"/>
      <c r="J47" s="155"/>
      <c r="K47" s="155"/>
      <c r="L47" s="154"/>
      <c r="N47" s="27"/>
      <c r="O47" s="123"/>
      <c r="P47" s="70">
        <f>IFERROR(Sheet1!H5,"0")</f>
        <v>0</v>
      </c>
      <c r="Q47" s="71"/>
      <c r="R47" s="70">
        <f>IFERROR(Sheet1!I5,"0")</f>
        <v>0</v>
      </c>
      <c r="S47" s="71"/>
      <c r="T47" s="17">
        <f>IFERROR(Sheet1!J5,"0")</f>
        <v>0</v>
      </c>
      <c r="U47" s="13">
        <f t="shared" si="3"/>
        <v>0</v>
      </c>
      <c r="V47" s="13" t="str">
        <f t="shared" si="4"/>
        <v/>
      </c>
      <c r="W47" s="14" t="str">
        <f t="shared" si="5"/>
        <v>0</v>
      </c>
      <c r="X47" s="132"/>
      <c r="Y47" s="132"/>
      <c r="Z47" s="132"/>
      <c r="AA47" s="10"/>
    </row>
    <row r="48" spans="1:41" ht="15" thickBot="1" x14ac:dyDescent="0.35">
      <c r="A48" s="169" t="s">
        <v>45</v>
      </c>
      <c r="B48" s="170"/>
      <c r="C48" s="155"/>
      <c r="D48" s="146" t="s">
        <v>44</v>
      </c>
      <c r="E48" s="148"/>
      <c r="F48" s="155"/>
      <c r="G48" s="154"/>
      <c r="H48" s="75" t="s">
        <v>47</v>
      </c>
      <c r="I48" s="173"/>
      <c r="J48" s="173"/>
      <c r="K48" s="76"/>
      <c r="L48" s="154"/>
      <c r="N48" s="27"/>
      <c r="O48" s="123"/>
      <c r="P48" s="70">
        <f>IFERROR(Sheet1!H6,"0")</f>
        <v>0</v>
      </c>
      <c r="Q48" s="71"/>
      <c r="R48" s="70">
        <f>IFERROR(Sheet1!I6,"0")</f>
        <v>0</v>
      </c>
      <c r="S48" s="71"/>
      <c r="T48" s="17">
        <f>IFERROR(Sheet1!J6,"0")</f>
        <v>0</v>
      </c>
      <c r="U48" s="13">
        <f t="shared" si="3"/>
        <v>0</v>
      </c>
      <c r="V48" s="13" t="str">
        <f t="shared" si="4"/>
        <v/>
      </c>
      <c r="W48" s="14" t="str">
        <f t="shared" si="5"/>
        <v>0</v>
      </c>
      <c r="X48" s="132"/>
      <c r="Y48" s="132"/>
      <c r="Z48" s="132"/>
      <c r="AA48" s="10"/>
    </row>
    <row r="49" spans="1:38" ht="15" thickBot="1" x14ac:dyDescent="0.35">
      <c r="A49" s="156"/>
      <c r="B49" s="155"/>
      <c r="C49" s="155"/>
      <c r="D49" s="172">
        <v>0</v>
      </c>
      <c r="E49" s="172"/>
      <c r="F49" s="155"/>
      <c r="G49" s="154"/>
      <c r="H49" s="87" t="s">
        <v>44</v>
      </c>
      <c r="I49" s="85"/>
      <c r="J49" s="85">
        <f>IF(D49=0,A51*20%+D51*20%+A53*30%+D53*30%,D49)</f>
        <v>0</v>
      </c>
      <c r="K49" s="86"/>
      <c r="L49" s="154"/>
      <c r="N49" s="27"/>
      <c r="O49" s="123"/>
      <c r="P49" s="70">
        <f>IFERROR(Sheet1!H7,"0")</f>
        <v>0</v>
      </c>
      <c r="Q49" s="71"/>
      <c r="R49" s="70">
        <f>IFERROR(Sheet1!I7,"0")</f>
        <v>0</v>
      </c>
      <c r="S49" s="71"/>
      <c r="T49" s="17">
        <f>IFERROR(Sheet1!J7,"0")</f>
        <v>0</v>
      </c>
      <c r="U49" s="13">
        <f t="shared" si="3"/>
        <v>0</v>
      </c>
      <c r="V49" s="13" t="str">
        <f t="shared" si="4"/>
        <v/>
      </c>
      <c r="W49" s="14" t="str">
        <f t="shared" si="5"/>
        <v>0</v>
      </c>
      <c r="X49" s="132"/>
      <c r="Y49" s="132"/>
      <c r="Z49" s="132"/>
      <c r="AA49" s="10"/>
    </row>
    <row r="50" spans="1:38" ht="15" thickBot="1" x14ac:dyDescent="0.35">
      <c r="A50" s="87" t="s">
        <v>33</v>
      </c>
      <c r="B50" s="85"/>
      <c r="C50" s="155"/>
      <c r="D50" s="87" t="s">
        <v>34</v>
      </c>
      <c r="E50" s="85"/>
      <c r="F50" s="155"/>
      <c r="G50" s="154"/>
      <c r="H50" s="87" t="s">
        <v>33</v>
      </c>
      <c r="I50" s="85"/>
      <c r="J50" s="85">
        <f>IF(A51=0,D49,A51)</f>
        <v>0</v>
      </c>
      <c r="K50" s="86"/>
      <c r="L50" s="154"/>
      <c r="N50" s="27"/>
      <c r="O50" s="123"/>
      <c r="P50" s="70">
        <f>IFERROR(Sheet1!H8,"0")</f>
        <v>0</v>
      </c>
      <c r="Q50" s="71"/>
      <c r="R50" s="70">
        <f>IFERROR(Sheet1!I8,"0")</f>
        <v>0</v>
      </c>
      <c r="S50" s="71"/>
      <c r="T50" s="17">
        <f>IFERROR(Sheet1!J8,"0")</f>
        <v>0</v>
      </c>
      <c r="U50" s="13">
        <f t="shared" si="3"/>
        <v>0</v>
      </c>
      <c r="V50" s="13" t="str">
        <f t="shared" si="4"/>
        <v/>
      </c>
      <c r="W50" s="14" t="str">
        <f t="shared" si="5"/>
        <v>0</v>
      </c>
      <c r="X50" s="132"/>
      <c r="Y50" s="132"/>
      <c r="Z50" s="132"/>
      <c r="AA50" s="10"/>
    </row>
    <row r="51" spans="1:38" ht="15" thickBot="1" x14ac:dyDescent="0.35">
      <c r="A51" s="171">
        <v>0</v>
      </c>
      <c r="B51" s="172"/>
      <c r="C51" s="155"/>
      <c r="D51" s="172">
        <v>0</v>
      </c>
      <c r="E51" s="172"/>
      <c r="F51" s="155"/>
      <c r="G51" s="154"/>
      <c r="H51" s="87" t="s">
        <v>34</v>
      </c>
      <c r="I51" s="85"/>
      <c r="J51" s="85">
        <f>IF(D51=0,IF(A51=0,D49,(D49-(0.2*A51))/0.8),D51)</f>
        <v>0</v>
      </c>
      <c r="K51" s="86"/>
      <c r="L51" s="154"/>
      <c r="N51" s="27"/>
      <c r="O51" s="123"/>
      <c r="P51" s="70">
        <f>IFERROR(Sheet1!H9,"0")</f>
        <v>0</v>
      </c>
      <c r="Q51" s="71"/>
      <c r="R51" s="70">
        <f>IFERROR(Sheet1!I9,"0")</f>
        <v>0</v>
      </c>
      <c r="S51" s="71"/>
      <c r="T51" s="17">
        <f>IFERROR(Sheet1!J9,"0")</f>
        <v>0</v>
      </c>
      <c r="U51" s="13">
        <f t="shared" si="3"/>
        <v>0</v>
      </c>
      <c r="V51" s="13" t="str">
        <f t="shared" si="4"/>
        <v/>
      </c>
      <c r="W51" s="14" t="str">
        <f t="shared" si="5"/>
        <v>0</v>
      </c>
      <c r="X51" s="132"/>
      <c r="Y51" s="132"/>
      <c r="Z51" s="132"/>
      <c r="AA51" s="10"/>
      <c r="AE51" s="4"/>
      <c r="AF51" s="4"/>
      <c r="AG51" s="4"/>
      <c r="AH51" s="4"/>
      <c r="AI51" s="46"/>
      <c r="AJ51" s="46"/>
      <c r="AK51" s="46"/>
      <c r="AL51" s="46"/>
    </row>
    <row r="52" spans="1:38" ht="15" thickBot="1" x14ac:dyDescent="0.35">
      <c r="A52" s="75" t="s">
        <v>35</v>
      </c>
      <c r="B52" s="164"/>
      <c r="C52" s="155"/>
      <c r="D52" s="87" t="s">
        <v>36</v>
      </c>
      <c r="E52" s="85"/>
      <c r="F52" s="155"/>
      <c r="G52" s="154"/>
      <c r="H52" s="87" t="s">
        <v>35</v>
      </c>
      <c r="I52" s="85"/>
      <c r="J52" s="85">
        <f>IF(A53=0,IF(D51=0,IF(A51=0,D49,(D49-(0.2*A51))/0.8),(D49-(0.2*A51)-(0.2*D51))/0.6),A53)</f>
        <v>0</v>
      </c>
      <c r="K52" s="86"/>
      <c r="L52" s="154"/>
      <c r="N52" s="27"/>
      <c r="O52" s="123"/>
      <c r="P52" s="70">
        <f>IFERROR(Sheet1!H10,"0")</f>
        <v>0</v>
      </c>
      <c r="Q52" s="71"/>
      <c r="R52" s="70">
        <f>IFERROR(Sheet1!I10,"0")</f>
        <v>0</v>
      </c>
      <c r="S52" s="71"/>
      <c r="T52" s="17">
        <f>IFERROR(Sheet1!J10,"0")</f>
        <v>0</v>
      </c>
      <c r="U52" s="13">
        <f t="shared" si="3"/>
        <v>0</v>
      </c>
      <c r="V52" s="13" t="str">
        <f t="shared" si="4"/>
        <v/>
      </c>
      <c r="W52" s="14" t="str">
        <f t="shared" si="5"/>
        <v>0</v>
      </c>
      <c r="X52" s="132"/>
      <c r="Y52" s="132"/>
      <c r="Z52" s="132"/>
      <c r="AA52" s="10"/>
    </row>
    <row r="53" spans="1:38" ht="15" thickBot="1" x14ac:dyDescent="0.35">
      <c r="A53" s="171">
        <v>0</v>
      </c>
      <c r="B53" s="172"/>
      <c r="C53" s="158"/>
      <c r="D53" s="172">
        <v>0</v>
      </c>
      <c r="E53" s="172"/>
      <c r="F53" s="158"/>
      <c r="G53" s="159"/>
      <c r="H53" s="146" t="s">
        <v>36</v>
      </c>
      <c r="I53" s="147"/>
      <c r="J53" s="147">
        <f>IF(D53=0,IF(A53=0,IF(D51=0,IF(A51=0,D49,(D49-(0.2*A51))/0.8),(D49-(0.2*A51)-(0.2*D51))/0.6),(D49-(0.2*A51)-(0.2*D51)-(0.3*A53))/0.3),D53)</f>
        <v>0</v>
      </c>
      <c r="K53" s="148"/>
      <c r="L53" s="159"/>
      <c r="N53" s="27"/>
      <c r="O53" s="123"/>
      <c r="P53" s="70">
        <f>IFERROR(Sheet1!H11,"0")</f>
        <v>0</v>
      </c>
      <c r="Q53" s="71"/>
      <c r="R53" s="70">
        <f>IFERROR(Sheet1!I11,"0")</f>
        <v>0</v>
      </c>
      <c r="S53" s="71"/>
      <c r="T53" s="17">
        <f>IFERROR(Sheet1!J11,"0")</f>
        <v>0</v>
      </c>
      <c r="U53" s="13">
        <f t="shared" si="3"/>
        <v>0</v>
      </c>
      <c r="V53" s="13" t="str">
        <f t="shared" si="4"/>
        <v/>
      </c>
      <c r="W53" s="14" t="str">
        <f t="shared" si="5"/>
        <v>0</v>
      </c>
      <c r="X53" s="132"/>
      <c r="Y53" s="132"/>
      <c r="Z53" s="132"/>
      <c r="AA53" s="10"/>
    </row>
    <row r="54" spans="1:38" x14ac:dyDescent="0.3">
      <c r="H54" s="144"/>
      <c r="I54" s="144"/>
      <c r="J54" s="144"/>
      <c r="K54" s="144"/>
      <c r="N54" s="27"/>
      <c r="O54" s="123"/>
      <c r="P54" s="70">
        <f>IFERROR(Sheet1!H12,"0")</f>
        <v>0</v>
      </c>
      <c r="Q54" s="71"/>
      <c r="R54" s="70">
        <f>IFERROR(Sheet1!I12,"0")</f>
        <v>0</v>
      </c>
      <c r="S54" s="71"/>
      <c r="T54" s="17">
        <f>IFERROR(Sheet1!J12,"0")</f>
        <v>0</v>
      </c>
      <c r="U54" s="13">
        <f t="shared" si="3"/>
        <v>0</v>
      </c>
      <c r="V54" s="13" t="str">
        <f t="shared" si="4"/>
        <v/>
      </c>
      <c r="W54" s="14" t="str">
        <f t="shared" si="5"/>
        <v>0</v>
      </c>
      <c r="X54" s="132"/>
      <c r="Y54" s="132"/>
      <c r="Z54" s="132"/>
      <c r="AA54" s="10"/>
    </row>
    <row r="55" spans="1:38" x14ac:dyDescent="0.3">
      <c r="N55" s="27"/>
      <c r="O55" s="123"/>
      <c r="P55" s="70">
        <f>IFERROR(Sheet1!H13,"0")</f>
        <v>0</v>
      </c>
      <c r="Q55" s="71"/>
      <c r="R55" s="70">
        <f>IFERROR(Sheet1!I13,"0")</f>
        <v>0</v>
      </c>
      <c r="S55" s="71"/>
      <c r="T55" s="17">
        <f>IFERROR(Sheet1!J13,"0")</f>
        <v>0</v>
      </c>
      <c r="U55" s="13">
        <f t="shared" si="3"/>
        <v>0</v>
      </c>
      <c r="V55" s="13" t="str">
        <f t="shared" si="4"/>
        <v/>
      </c>
      <c r="W55" s="14" t="str">
        <f t="shared" si="5"/>
        <v>0</v>
      </c>
      <c r="X55" s="132"/>
      <c r="Y55" s="132"/>
      <c r="Z55" s="132"/>
      <c r="AA55" s="10"/>
    </row>
    <row r="56" spans="1:38" x14ac:dyDescent="0.3">
      <c r="N56" s="27"/>
      <c r="O56" s="123"/>
      <c r="P56" s="70">
        <f>IFERROR(Sheet1!H14,"0")</f>
        <v>0</v>
      </c>
      <c r="Q56" s="71"/>
      <c r="R56" s="70">
        <f>IFERROR(Sheet1!I14,"0")</f>
        <v>0</v>
      </c>
      <c r="S56" s="71"/>
      <c r="T56" s="17">
        <f>IFERROR(Sheet1!J14,"0")</f>
        <v>0</v>
      </c>
      <c r="U56" s="13">
        <f t="shared" si="3"/>
        <v>0</v>
      </c>
      <c r="V56" s="13" t="str">
        <f t="shared" si="4"/>
        <v/>
      </c>
      <c r="W56" s="14" t="str">
        <f t="shared" si="5"/>
        <v>0</v>
      </c>
      <c r="X56" s="132"/>
      <c r="Y56" s="132"/>
      <c r="Z56" s="132"/>
      <c r="AA56" s="10"/>
    </row>
    <row r="57" spans="1:38" x14ac:dyDescent="0.3">
      <c r="N57" s="27"/>
      <c r="O57" s="123"/>
      <c r="P57" s="70">
        <f>IFERROR(Sheet1!H15,"0")</f>
        <v>0</v>
      </c>
      <c r="Q57" s="71"/>
      <c r="R57" s="70">
        <f>IFERROR(Sheet1!I15,"0")</f>
        <v>0</v>
      </c>
      <c r="S57" s="71"/>
      <c r="T57" s="17">
        <f>IFERROR(Sheet1!J15,"0")</f>
        <v>0</v>
      </c>
      <c r="U57" s="13">
        <f t="shared" si="3"/>
        <v>0</v>
      </c>
      <c r="V57" s="13" t="str">
        <f t="shared" si="4"/>
        <v/>
      </c>
      <c r="W57" s="14" t="str">
        <f t="shared" si="5"/>
        <v>0</v>
      </c>
      <c r="X57" s="132"/>
      <c r="Y57" s="132"/>
      <c r="Z57" s="132"/>
      <c r="AA57" s="10"/>
    </row>
    <row r="58" spans="1:38" x14ac:dyDescent="0.3">
      <c r="N58" s="27"/>
      <c r="O58" s="123"/>
      <c r="P58" s="70">
        <f>IFERROR(Sheet1!H16,"0")</f>
        <v>0</v>
      </c>
      <c r="Q58" s="71"/>
      <c r="R58" s="70">
        <f>IFERROR(Sheet1!I16,"0")</f>
        <v>0</v>
      </c>
      <c r="S58" s="71"/>
      <c r="T58" s="17">
        <f>IFERROR(Sheet1!J16,"0")</f>
        <v>0</v>
      </c>
      <c r="U58" s="13">
        <f t="shared" si="3"/>
        <v>0</v>
      </c>
      <c r="V58" s="13" t="str">
        <f t="shared" si="4"/>
        <v/>
      </c>
      <c r="W58" s="14" t="str">
        <f t="shared" si="5"/>
        <v>0</v>
      </c>
      <c r="X58" s="132"/>
      <c r="Y58" s="132"/>
      <c r="Z58" s="132"/>
      <c r="AA58" s="10"/>
      <c r="AB58" s="6"/>
    </row>
    <row r="59" spans="1:38" x14ac:dyDescent="0.3">
      <c r="N59" s="27"/>
      <c r="O59" s="123"/>
      <c r="P59" s="70">
        <f>IFERROR(Sheet1!H17,"0")</f>
        <v>0</v>
      </c>
      <c r="Q59" s="71"/>
      <c r="R59" s="70">
        <f>IFERROR(Sheet1!I17,"0")</f>
        <v>0</v>
      </c>
      <c r="S59" s="71"/>
      <c r="T59" s="17">
        <f>IFERROR(Sheet1!J17,"0")</f>
        <v>0</v>
      </c>
      <c r="U59" s="13">
        <f t="shared" si="3"/>
        <v>0</v>
      </c>
      <c r="V59" s="13" t="str">
        <f t="shared" si="4"/>
        <v/>
      </c>
      <c r="W59" s="14" t="str">
        <f t="shared" si="5"/>
        <v>0</v>
      </c>
      <c r="X59" s="132"/>
      <c r="Y59" s="132"/>
      <c r="Z59" s="132"/>
      <c r="AA59" s="10"/>
    </row>
    <row r="60" spans="1:38" x14ac:dyDescent="0.3">
      <c r="N60" s="27"/>
      <c r="O60" s="123"/>
      <c r="P60" s="70">
        <f>IFERROR(Sheet1!H18,"0")</f>
        <v>0</v>
      </c>
      <c r="Q60" s="71"/>
      <c r="R60" s="70">
        <f>IFERROR(Sheet1!I18,"0")</f>
        <v>0</v>
      </c>
      <c r="S60" s="71"/>
      <c r="T60" s="17">
        <f>IFERROR(Sheet1!J18,"0")</f>
        <v>0</v>
      </c>
      <c r="U60" s="13">
        <f t="shared" si="3"/>
        <v>0</v>
      </c>
      <c r="V60" s="13" t="str">
        <f t="shared" si="4"/>
        <v/>
      </c>
      <c r="W60" s="14" t="str">
        <f t="shared" si="5"/>
        <v>0</v>
      </c>
      <c r="X60" s="132"/>
      <c r="Y60" s="132"/>
      <c r="Z60" s="132"/>
      <c r="AA60" s="10"/>
      <c r="AB60" s="5"/>
    </row>
    <row r="61" spans="1:38" x14ac:dyDescent="0.3">
      <c r="N61" s="27"/>
      <c r="O61" s="123"/>
      <c r="P61" s="70">
        <f>IFERROR(Sheet1!H19,"0")</f>
        <v>0</v>
      </c>
      <c r="Q61" s="71"/>
      <c r="R61" s="70">
        <f>IFERROR(Sheet1!I19,"0")</f>
        <v>0</v>
      </c>
      <c r="S61" s="71"/>
      <c r="T61" s="17">
        <f>IFERROR(Sheet1!J19,"0")</f>
        <v>0</v>
      </c>
      <c r="U61" s="13">
        <f t="shared" si="3"/>
        <v>0</v>
      </c>
      <c r="V61" s="13" t="str">
        <f t="shared" si="4"/>
        <v/>
      </c>
      <c r="W61" s="14" t="str">
        <f t="shared" si="5"/>
        <v>0</v>
      </c>
      <c r="X61" s="132"/>
      <c r="Y61" s="132"/>
      <c r="Z61" s="132"/>
      <c r="AA61" s="10"/>
    </row>
    <row r="62" spans="1:38" x14ac:dyDescent="0.3">
      <c r="N62" s="27"/>
      <c r="O62" s="123"/>
      <c r="P62" s="70">
        <f>IFERROR(Sheet1!H20,"0")</f>
        <v>0</v>
      </c>
      <c r="Q62" s="71"/>
      <c r="R62" s="70">
        <f>IFERROR(Sheet1!I20,"0")</f>
        <v>0</v>
      </c>
      <c r="S62" s="71"/>
      <c r="T62" s="17">
        <f>IFERROR(Sheet1!J20,"0")</f>
        <v>0</v>
      </c>
      <c r="U62" s="13">
        <f t="shared" si="3"/>
        <v>0</v>
      </c>
      <c r="V62" s="13" t="str">
        <f t="shared" si="4"/>
        <v/>
      </c>
      <c r="W62" s="14" t="str">
        <f t="shared" si="5"/>
        <v>0</v>
      </c>
      <c r="X62" s="132"/>
      <c r="Y62" s="132"/>
      <c r="Z62" s="132"/>
      <c r="AA62" s="10"/>
    </row>
    <row r="63" spans="1:38" ht="15" thickBot="1" x14ac:dyDescent="0.35">
      <c r="N63" s="27"/>
      <c r="O63" s="124"/>
      <c r="P63" s="70">
        <f>IFERROR(Sheet1!H21,"0")</f>
        <v>0</v>
      </c>
      <c r="Q63" s="71"/>
      <c r="R63" s="70">
        <f>IFERROR(Sheet1!I21,"0")</f>
        <v>0</v>
      </c>
      <c r="S63" s="71"/>
      <c r="T63" s="17">
        <f>IFERROR(Sheet1!J21,"0")</f>
        <v>0</v>
      </c>
      <c r="U63" s="13">
        <f t="shared" si="3"/>
        <v>0</v>
      </c>
      <c r="V63" s="13" t="str">
        <f t="shared" si="4"/>
        <v/>
      </c>
      <c r="W63" s="14" t="str">
        <f t="shared" si="5"/>
        <v>0</v>
      </c>
      <c r="X63" s="133"/>
      <c r="Y63" s="133"/>
      <c r="Z63" s="133"/>
      <c r="AA63" s="10"/>
    </row>
    <row r="64" spans="1:38" ht="15" thickBot="1" x14ac:dyDescent="0.35">
      <c r="N64" s="27"/>
      <c r="O64" s="10"/>
      <c r="U64" s="12">
        <f>SUM(U44:U63)</f>
        <v>0</v>
      </c>
      <c r="V64" s="12"/>
      <c r="W64" s="12">
        <f t="shared" ref="W64" si="6">SUM(W44:W63)</f>
        <v>0</v>
      </c>
      <c r="X64" s="23" t="str">
        <f>IFERROR((W64/U64),"0")</f>
        <v>0</v>
      </c>
      <c r="Y64" s="22">
        <f>(X64/100)*40</f>
        <v>0</v>
      </c>
      <c r="Z64" s="22">
        <f>(X64/100)*20</f>
        <v>0</v>
      </c>
      <c r="AA64" s="10"/>
    </row>
    <row r="65" spans="14:27" x14ac:dyDescent="0.3">
      <c r="N65" s="27"/>
      <c r="O65" s="122" t="s">
        <v>23</v>
      </c>
      <c r="P65" s="129"/>
      <c r="Q65" s="129"/>
      <c r="R65" s="129"/>
      <c r="S65" s="129"/>
      <c r="T65" s="129"/>
      <c r="U65" s="129"/>
      <c r="V65" s="129"/>
      <c r="W65" s="130"/>
      <c r="X65" s="131"/>
      <c r="Y65" s="131"/>
      <c r="Z65" s="131"/>
      <c r="AA65" s="10"/>
    </row>
    <row r="66" spans="14:27" x14ac:dyDescent="0.3">
      <c r="N66" s="27"/>
      <c r="O66" s="123"/>
      <c r="P66" s="70" t="str">
        <f>IFERROR(Sheet1!K2,"0")</f>
        <v>0</v>
      </c>
      <c r="Q66" s="71"/>
      <c r="R66" s="69">
        <f>IFERROR(Sheet1!L2,"0")</f>
        <v>0</v>
      </c>
      <c r="S66" s="69"/>
      <c r="T66" s="17">
        <f>IFERROR(Sheet1!M2,"0")</f>
        <v>0</v>
      </c>
      <c r="U66" s="13">
        <f>IFERROR(VALUE(RIGHT(P66,1)),"0")</f>
        <v>0</v>
      </c>
      <c r="V66" s="13" t="str">
        <f>IFERROR(VLOOKUP(T66,$U$5:$V$17,2,FALSE),"")</f>
        <v/>
      </c>
      <c r="W66" s="14" t="str">
        <f>IFERROR((U66*V66),"0")</f>
        <v>0</v>
      </c>
      <c r="X66" s="132"/>
      <c r="Y66" s="132"/>
      <c r="Z66" s="132"/>
      <c r="AA66" s="10"/>
    </row>
    <row r="67" spans="14:27" x14ac:dyDescent="0.3">
      <c r="N67" s="27"/>
      <c r="O67" s="123"/>
      <c r="P67" s="70">
        <f>IFERROR(Sheet1!K3,"0")</f>
        <v>0</v>
      </c>
      <c r="Q67" s="71"/>
      <c r="R67" s="69">
        <f>IFERROR(Sheet1!L3,"0")</f>
        <v>0</v>
      </c>
      <c r="S67" s="69"/>
      <c r="T67" s="17">
        <f>IFERROR(Sheet1!M3,"0")</f>
        <v>0</v>
      </c>
      <c r="U67" s="13">
        <f t="shared" ref="U67:U85" si="7">IFERROR(VALUE(RIGHT(P67,1)),"0")</f>
        <v>0</v>
      </c>
      <c r="V67" s="13" t="str">
        <f t="shared" ref="V67:V85" si="8">IFERROR(VLOOKUP(T67,$U$5:$V$17,2,FALSE),"")</f>
        <v/>
      </c>
      <c r="W67" s="14" t="str">
        <f t="shared" ref="W67:W85" si="9">IFERROR((U67*V67),"0")</f>
        <v>0</v>
      </c>
      <c r="X67" s="132"/>
      <c r="Y67" s="132"/>
      <c r="Z67" s="132"/>
      <c r="AA67" s="10"/>
    </row>
    <row r="68" spans="14:27" x14ac:dyDescent="0.3">
      <c r="N68" s="27"/>
      <c r="O68" s="123"/>
      <c r="P68" s="70">
        <f>IFERROR(Sheet1!K4,"0")</f>
        <v>0</v>
      </c>
      <c r="Q68" s="71"/>
      <c r="R68" s="69">
        <f>IFERROR(Sheet1!L4,"0")</f>
        <v>0</v>
      </c>
      <c r="S68" s="69"/>
      <c r="T68" s="17">
        <f>IFERROR(Sheet1!M4,"0")</f>
        <v>0</v>
      </c>
      <c r="U68" s="13">
        <f t="shared" si="7"/>
        <v>0</v>
      </c>
      <c r="V68" s="13" t="str">
        <f t="shared" si="8"/>
        <v/>
      </c>
      <c r="W68" s="14" t="str">
        <f t="shared" si="9"/>
        <v>0</v>
      </c>
      <c r="X68" s="132"/>
      <c r="Y68" s="132"/>
      <c r="Z68" s="132"/>
      <c r="AA68" s="10"/>
    </row>
    <row r="69" spans="14:27" x14ac:dyDescent="0.3">
      <c r="N69" s="27"/>
      <c r="O69" s="123"/>
      <c r="P69" s="70">
        <f>IFERROR(Sheet1!K5,"0")</f>
        <v>0</v>
      </c>
      <c r="Q69" s="71"/>
      <c r="R69" s="69">
        <f>IFERROR(Sheet1!L5,"0")</f>
        <v>0</v>
      </c>
      <c r="S69" s="69"/>
      <c r="T69" s="17">
        <f>IFERROR(Sheet1!M5,"0")</f>
        <v>0</v>
      </c>
      <c r="U69" s="13">
        <f t="shared" si="7"/>
        <v>0</v>
      </c>
      <c r="V69" s="13" t="str">
        <f t="shared" si="8"/>
        <v/>
      </c>
      <c r="W69" s="14" t="str">
        <f t="shared" si="9"/>
        <v>0</v>
      </c>
      <c r="X69" s="132"/>
      <c r="Y69" s="132"/>
      <c r="Z69" s="132"/>
      <c r="AA69" s="10"/>
    </row>
    <row r="70" spans="14:27" x14ac:dyDescent="0.3">
      <c r="N70" s="27"/>
      <c r="O70" s="123"/>
      <c r="P70" s="70">
        <f>IFERROR(Sheet1!K6,"0")</f>
        <v>0</v>
      </c>
      <c r="Q70" s="71"/>
      <c r="R70" s="69">
        <f>IFERROR(Sheet1!L6,"0")</f>
        <v>0</v>
      </c>
      <c r="S70" s="69"/>
      <c r="T70" s="17">
        <f>IFERROR(Sheet1!M6,"0")</f>
        <v>0</v>
      </c>
      <c r="U70" s="13">
        <f t="shared" si="7"/>
        <v>0</v>
      </c>
      <c r="V70" s="13" t="str">
        <f t="shared" si="8"/>
        <v/>
      </c>
      <c r="W70" s="14" t="str">
        <f t="shared" si="9"/>
        <v>0</v>
      </c>
      <c r="X70" s="132"/>
      <c r="Y70" s="132"/>
      <c r="Z70" s="132"/>
      <c r="AA70" s="10"/>
    </row>
    <row r="71" spans="14:27" x14ac:dyDescent="0.3">
      <c r="N71" s="27"/>
      <c r="O71" s="123"/>
      <c r="P71" s="70">
        <f>IFERROR(Sheet1!K7,"0")</f>
        <v>0</v>
      </c>
      <c r="Q71" s="71"/>
      <c r="R71" s="69">
        <f>IFERROR(Sheet1!L7,"0")</f>
        <v>0</v>
      </c>
      <c r="S71" s="69"/>
      <c r="T71" s="17">
        <f>IFERROR(Sheet1!M7,"0")</f>
        <v>0</v>
      </c>
      <c r="U71" s="13">
        <f t="shared" si="7"/>
        <v>0</v>
      </c>
      <c r="V71" s="13" t="str">
        <f t="shared" si="8"/>
        <v/>
      </c>
      <c r="W71" s="14" t="str">
        <f t="shared" si="9"/>
        <v>0</v>
      </c>
      <c r="X71" s="132"/>
      <c r="Y71" s="132"/>
      <c r="Z71" s="132"/>
      <c r="AA71" s="10"/>
    </row>
    <row r="72" spans="14:27" x14ac:dyDescent="0.3">
      <c r="N72" s="27"/>
      <c r="O72" s="123"/>
      <c r="P72" s="70">
        <f>IFERROR(Sheet1!K8,"0")</f>
        <v>0</v>
      </c>
      <c r="Q72" s="71"/>
      <c r="R72" s="69">
        <f>IFERROR(Sheet1!L8,"0")</f>
        <v>0</v>
      </c>
      <c r="S72" s="69"/>
      <c r="T72" s="17">
        <f>IFERROR(Sheet1!M8,"0")</f>
        <v>0</v>
      </c>
      <c r="U72" s="13">
        <f t="shared" si="7"/>
        <v>0</v>
      </c>
      <c r="V72" s="13" t="str">
        <f t="shared" si="8"/>
        <v/>
      </c>
      <c r="W72" s="14" t="str">
        <f t="shared" si="9"/>
        <v>0</v>
      </c>
      <c r="X72" s="132"/>
      <c r="Y72" s="132"/>
      <c r="Z72" s="132"/>
      <c r="AA72" s="10"/>
    </row>
    <row r="73" spans="14:27" x14ac:dyDescent="0.3">
      <c r="N73" s="27"/>
      <c r="O73" s="123"/>
      <c r="P73" s="70">
        <f>IFERROR(Sheet1!K9,"0")</f>
        <v>0</v>
      </c>
      <c r="Q73" s="71"/>
      <c r="R73" s="69">
        <f>IFERROR(Sheet1!L9,"0")</f>
        <v>0</v>
      </c>
      <c r="S73" s="69"/>
      <c r="T73" s="17">
        <f>IFERROR(Sheet1!M9,"0")</f>
        <v>0</v>
      </c>
      <c r="U73" s="13">
        <f t="shared" si="7"/>
        <v>0</v>
      </c>
      <c r="V73" s="13" t="str">
        <f t="shared" si="8"/>
        <v/>
      </c>
      <c r="W73" s="14" t="str">
        <f t="shared" si="9"/>
        <v>0</v>
      </c>
      <c r="X73" s="132"/>
      <c r="Y73" s="132"/>
      <c r="Z73" s="132"/>
      <c r="AA73" s="10"/>
    </row>
    <row r="74" spans="14:27" x14ac:dyDescent="0.3">
      <c r="N74" s="27"/>
      <c r="O74" s="123"/>
      <c r="P74" s="70">
        <f>IFERROR(Sheet1!K10,"0")</f>
        <v>0</v>
      </c>
      <c r="Q74" s="71"/>
      <c r="R74" s="69">
        <f>IFERROR(Sheet1!L10,"0")</f>
        <v>0</v>
      </c>
      <c r="S74" s="69"/>
      <c r="T74" s="17">
        <f>IFERROR(Sheet1!M10,"0")</f>
        <v>0</v>
      </c>
      <c r="U74" s="13">
        <f t="shared" si="7"/>
        <v>0</v>
      </c>
      <c r="V74" s="13" t="str">
        <f t="shared" si="8"/>
        <v/>
      </c>
      <c r="W74" s="14" t="str">
        <f t="shared" si="9"/>
        <v>0</v>
      </c>
      <c r="X74" s="132"/>
      <c r="Y74" s="132"/>
      <c r="Z74" s="132"/>
      <c r="AA74" s="10"/>
    </row>
    <row r="75" spans="14:27" x14ac:dyDescent="0.3">
      <c r="N75" s="27"/>
      <c r="O75" s="123"/>
      <c r="P75" s="70">
        <f>IFERROR(Sheet1!K11,"0")</f>
        <v>0</v>
      </c>
      <c r="Q75" s="71"/>
      <c r="R75" s="69">
        <f>IFERROR(Sheet1!L11,"0")</f>
        <v>0</v>
      </c>
      <c r="S75" s="69"/>
      <c r="T75" s="17">
        <f>IFERROR(Sheet1!M11,"0")</f>
        <v>0</v>
      </c>
      <c r="U75" s="13">
        <f t="shared" si="7"/>
        <v>0</v>
      </c>
      <c r="V75" s="13" t="str">
        <f t="shared" si="8"/>
        <v/>
      </c>
      <c r="W75" s="14" t="str">
        <f t="shared" si="9"/>
        <v>0</v>
      </c>
      <c r="X75" s="132"/>
      <c r="Y75" s="132"/>
      <c r="Z75" s="132"/>
      <c r="AA75" s="10"/>
    </row>
    <row r="76" spans="14:27" x14ac:dyDescent="0.3">
      <c r="N76" s="27"/>
      <c r="O76" s="123"/>
      <c r="P76" s="70">
        <f>IFERROR(Sheet1!K12,"0")</f>
        <v>0</v>
      </c>
      <c r="Q76" s="71"/>
      <c r="R76" s="69">
        <f>IFERROR(Sheet1!L12,"0")</f>
        <v>0</v>
      </c>
      <c r="S76" s="69"/>
      <c r="T76" s="17">
        <f>IFERROR(Sheet1!M12,"0")</f>
        <v>0</v>
      </c>
      <c r="U76" s="13">
        <f t="shared" si="7"/>
        <v>0</v>
      </c>
      <c r="V76" s="13" t="str">
        <f t="shared" si="8"/>
        <v/>
      </c>
      <c r="W76" s="14" t="str">
        <f t="shared" si="9"/>
        <v>0</v>
      </c>
      <c r="X76" s="132"/>
      <c r="Y76" s="132"/>
      <c r="Z76" s="132"/>
      <c r="AA76" s="10"/>
    </row>
    <row r="77" spans="14:27" x14ac:dyDescent="0.3">
      <c r="N77" s="27"/>
      <c r="O77" s="123"/>
      <c r="P77" s="70">
        <f>IFERROR(Sheet1!K13,"0")</f>
        <v>0</v>
      </c>
      <c r="Q77" s="71"/>
      <c r="R77" s="69">
        <f>IFERROR(Sheet1!L13,"0")</f>
        <v>0</v>
      </c>
      <c r="S77" s="69"/>
      <c r="T77" s="17">
        <f>IFERROR(Sheet1!M13,"0")</f>
        <v>0</v>
      </c>
      <c r="U77" s="13">
        <f t="shared" si="7"/>
        <v>0</v>
      </c>
      <c r="V77" s="13" t="str">
        <f t="shared" si="8"/>
        <v/>
      </c>
      <c r="W77" s="14" t="str">
        <f t="shared" si="9"/>
        <v>0</v>
      </c>
      <c r="X77" s="132"/>
      <c r="Y77" s="132"/>
      <c r="Z77" s="132"/>
      <c r="AA77" s="10"/>
    </row>
    <row r="78" spans="14:27" x14ac:dyDescent="0.3">
      <c r="N78" s="27"/>
      <c r="O78" s="123"/>
      <c r="P78" s="70">
        <f>IFERROR(Sheet1!K14,"0")</f>
        <v>0</v>
      </c>
      <c r="Q78" s="71"/>
      <c r="R78" s="69">
        <f>IFERROR(Sheet1!L14,"0")</f>
        <v>0</v>
      </c>
      <c r="S78" s="69"/>
      <c r="T78" s="17">
        <f>IFERROR(Sheet1!M14,"0")</f>
        <v>0</v>
      </c>
      <c r="U78" s="13">
        <f t="shared" si="7"/>
        <v>0</v>
      </c>
      <c r="V78" s="13" t="str">
        <f t="shared" si="8"/>
        <v/>
      </c>
      <c r="W78" s="14" t="str">
        <f t="shared" si="9"/>
        <v>0</v>
      </c>
      <c r="X78" s="132"/>
      <c r="Y78" s="132"/>
      <c r="Z78" s="132"/>
      <c r="AA78" s="10"/>
    </row>
    <row r="79" spans="14:27" x14ac:dyDescent="0.3">
      <c r="N79" s="27"/>
      <c r="O79" s="123"/>
      <c r="P79" s="70">
        <f>IFERROR(Sheet1!K15,"0")</f>
        <v>0</v>
      </c>
      <c r="Q79" s="71"/>
      <c r="R79" s="69">
        <f>IFERROR(Sheet1!L15,"0")</f>
        <v>0</v>
      </c>
      <c r="S79" s="69"/>
      <c r="T79" s="17">
        <f>IFERROR(Sheet1!M15,"0")</f>
        <v>0</v>
      </c>
      <c r="U79" s="13">
        <f t="shared" si="7"/>
        <v>0</v>
      </c>
      <c r="V79" s="13" t="str">
        <f t="shared" si="8"/>
        <v/>
      </c>
      <c r="W79" s="14" t="str">
        <f t="shared" si="9"/>
        <v>0</v>
      </c>
      <c r="X79" s="132"/>
      <c r="Y79" s="132"/>
      <c r="Z79" s="132"/>
      <c r="AA79" s="10"/>
    </row>
    <row r="80" spans="14:27" x14ac:dyDescent="0.3">
      <c r="N80" s="27"/>
      <c r="O80" s="123"/>
      <c r="P80" s="70">
        <f>IFERROR(Sheet1!K16,"0")</f>
        <v>0</v>
      </c>
      <c r="Q80" s="71"/>
      <c r="R80" s="69">
        <f>IFERROR(Sheet1!L16,"0")</f>
        <v>0</v>
      </c>
      <c r="S80" s="69"/>
      <c r="T80" s="17">
        <f>IFERROR(Sheet1!M16,"0")</f>
        <v>0</v>
      </c>
      <c r="U80" s="13">
        <f t="shared" si="7"/>
        <v>0</v>
      </c>
      <c r="V80" s="13" t="str">
        <f t="shared" si="8"/>
        <v/>
      </c>
      <c r="W80" s="14" t="str">
        <f t="shared" si="9"/>
        <v>0</v>
      </c>
      <c r="X80" s="132"/>
      <c r="Y80" s="132"/>
      <c r="Z80" s="132"/>
      <c r="AA80" s="10"/>
    </row>
    <row r="81" spans="14:27" x14ac:dyDescent="0.3">
      <c r="N81" s="27"/>
      <c r="O81" s="123"/>
      <c r="P81" s="70">
        <f>IFERROR(Sheet1!K17,"0")</f>
        <v>0</v>
      </c>
      <c r="Q81" s="71"/>
      <c r="R81" s="69">
        <f>IFERROR(Sheet1!L17,"0")</f>
        <v>0</v>
      </c>
      <c r="S81" s="69"/>
      <c r="T81" s="17">
        <f>IFERROR(Sheet1!M17,"0")</f>
        <v>0</v>
      </c>
      <c r="U81" s="13">
        <f t="shared" si="7"/>
        <v>0</v>
      </c>
      <c r="V81" s="13" t="str">
        <f t="shared" si="8"/>
        <v/>
      </c>
      <c r="W81" s="14" t="str">
        <f t="shared" si="9"/>
        <v>0</v>
      </c>
      <c r="X81" s="132"/>
      <c r="Y81" s="132"/>
      <c r="Z81" s="132"/>
      <c r="AA81" s="10"/>
    </row>
    <row r="82" spans="14:27" x14ac:dyDescent="0.3">
      <c r="N82" s="27"/>
      <c r="O82" s="123"/>
      <c r="P82" s="70">
        <f>IFERROR(Sheet1!K18,"0")</f>
        <v>0</v>
      </c>
      <c r="Q82" s="71"/>
      <c r="R82" s="69">
        <f>IFERROR(Sheet1!L18,"0")</f>
        <v>0</v>
      </c>
      <c r="S82" s="69"/>
      <c r="T82" s="17">
        <f>IFERROR(Sheet1!M18,"0")</f>
        <v>0</v>
      </c>
      <c r="U82" s="13">
        <f t="shared" si="7"/>
        <v>0</v>
      </c>
      <c r="V82" s="13" t="str">
        <f t="shared" si="8"/>
        <v/>
      </c>
      <c r="W82" s="14" t="str">
        <f t="shared" si="9"/>
        <v>0</v>
      </c>
      <c r="X82" s="132"/>
      <c r="Y82" s="132"/>
      <c r="Z82" s="132"/>
      <c r="AA82" s="10"/>
    </row>
    <row r="83" spans="14:27" x14ac:dyDescent="0.3">
      <c r="N83" s="27"/>
      <c r="O83" s="123"/>
      <c r="P83" s="70">
        <f>IFERROR(Sheet1!K19,"0")</f>
        <v>0</v>
      </c>
      <c r="Q83" s="71"/>
      <c r="R83" s="69">
        <f>IFERROR(Sheet1!L19,"0")</f>
        <v>0</v>
      </c>
      <c r="S83" s="69"/>
      <c r="T83" s="17">
        <f>IFERROR(Sheet1!M19,"0")</f>
        <v>0</v>
      </c>
      <c r="U83" s="13">
        <f t="shared" si="7"/>
        <v>0</v>
      </c>
      <c r="V83" s="13" t="str">
        <f t="shared" si="8"/>
        <v/>
      </c>
      <c r="W83" s="14" t="str">
        <f t="shared" si="9"/>
        <v>0</v>
      </c>
      <c r="X83" s="132"/>
      <c r="Y83" s="132"/>
      <c r="Z83" s="132"/>
      <c r="AA83" s="10"/>
    </row>
    <row r="84" spans="14:27" x14ac:dyDescent="0.3">
      <c r="N84" s="27"/>
      <c r="O84" s="123"/>
      <c r="P84" s="70">
        <f>IFERROR(Sheet1!K20,"0")</f>
        <v>0</v>
      </c>
      <c r="Q84" s="71"/>
      <c r="R84" s="69">
        <f>IFERROR(Sheet1!L20,"0")</f>
        <v>0</v>
      </c>
      <c r="S84" s="69"/>
      <c r="T84" s="17">
        <f>IFERROR(Sheet1!M20,"0")</f>
        <v>0</v>
      </c>
      <c r="U84" s="13">
        <f t="shared" si="7"/>
        <v>0</v>
      </c>
      <c r="V84" s="13" t="str">
        <f t="shared" si="8"/>
        <v/>
      </c>
      <c r="W84" s="14" t="str">
        <f t="shared" si="9"/>
        <v>0</v>
      </c>
      <c r="X84" s="132"/>
      <c r="Y84" s="132"/>
      <c r="Z84" s="132"/>
      <c r="AA84" s="10"/>
    </row>
    <row r="85" spans="14:27" ht="15" thickBot="1" x14ac:dyDescent="0.35">
      <c r="N85" s="27"/>
      <c r="O85" s="124"/>
      <c r="P85" s="70">
        <f>IFERROR(Sheet1!K21,"0")</f>
        <v>0</v>
      </c>
      <c r="Q85" s="71"/>
      <c r="R85" s="69">
        <f>IFERROR(Sheet1!L21,"0")</f>
        <v>0</v>
      </c>
      <c r="S85" s="69"/>
      <c r="T85" s="17">
        <f>IFERROR(Sheet1!M21,"0")</f>
        <v>0</v>
      </c>
      <c r="U85" s="13">
        <f t="shared" si="7"/>
        <v>0</v>
      </c>
      <c r="V85" s="13" t="str">
        <f t="shared" si="8"/>
        <v/>
      </c>
      <c r="W85" s="14" t="str">
        <f t="shared" si="9"/>
        <v>0</v>
      </c>
      <c r="X85" s="133"/>
      <c r="Y85" s="133"/>
      <c r="Z85" s="133"/>
      <c r="AA85" s="10"/>
    </row>
    <row r="86" spans="14:27" ht="15" thickBot="1" x14ac:dyDescent="0.35">
      <c r="N86" s="27"/>
      <c r="U86" s="11">
        <f>SUM(U66:U85)</f>
        <v>0</v>
      </c>
      <c r="V86" s="11"/>
      <c r="W86" s="11">
        <f>SUM(W66:W85)</f>
        <v>0</v>
      </c>
      <c r="X86" s="23" t="str">
        <f>IFERROR((W86/U86),"0")</f>
        <v>0</v>
      </c>
      <c r="Y86" s="22">
        <f>(X86/100)*40</f>
        <v>0</v>
      </c>
      <c r="Z86" s="22">
        <f>(X86/100)*30</f>
        <v>0</v>
      </c>
      <c r="AA86" s="10"/>
    </row>
    <row r="87" spans="14:27" x14ac:dyDescent="0.3">
      <c r="N87" s="27"/>
      <c r="O87" s="122" t="s">
        <v>26</v>
      </c>
      <c r="P87" s="129"/>
      <c r="Q87" s="129"/>
      <c r="R87" s="129"/>
      <c r="S87" s="129"/>
      <c r="T87" s="129"/>
      <c r="U87" s="129"/>
      <c r="V87" s="129"/>
      <c r="W87" s="130"/>
      <c r="X87" s="131"/>
      <c r="Y87" s="134"/>
      <c r="Z87" s="131"/>
      <c r="AA87" s="10"/>
    </row>
    <row r="88" spans="14:27" x14ac:dyDescent="0.3">
      <c r="N88" s="27"/>
      <c r="O88" s="123"/>
      <c r="P88" s="70" t="str">
        <f>IFERROR(Sheet1!N2,"0")</f>
        <v>0</v>
      </c>
      <c r="Q88" s="71"/>
      <c r="R88" s="69">
        <f>IFERROR(Sheet1!O2,"0")</f>
        <v>0</v>
      </c>
      <c r="S88" s="69"/>
      <c r="T88" s="17">
        <f>IFERROR(Sheet1!P2,"0")</f>
        <v>0</v>
      </c>
      <c r="U88" s="13">
        <f>IFERROR(VALUE(RIGHT(P88,1)),"0")</f>
        <v>0</v>
      </c>
      <c r="V88" s="13" t="str">
        <f>IFERROR(VLOOKUP(T88,$U$5:$V$17,2,FALSE),"")</f>
        <v/>
      </c>
      <c r="W88" s="14" t="str">
        <f>IFERROR((U88*V88),"0")</f>
        <v>0</v>
      </c>
      <c r="X88" s="132"/>
      <c r="Y88" s="135"/>
      <c r="Z88" s="132"/>
      <c r="AA88" s="10"/>
    </row>
    <row r="89" spans="14:27" x14ac:dyDescent="0.3">
      <c r="N89" s="27"/>
      <c r="O89" s="123"/>
      <c r="P89" s="70">
        <f>IFERROR(Sheet1!N3,"0")</f>
        <v>0</v>
      </c>
      <c r="Q89" s="71"/>
      <c r="R89" s="69">
        <f>IFERROR(Sheet1!O3,"0")</f>
        <v>0</v>
      </c>
      <c r="S89" s="69"/>
      <c r="T89" s="17">
        <f>IFERROR(Sheet1!P3,"0")</f>
        <v>0</v>
      </c>
      <c r="U89" s="13">
        <f t="shared" ref="U89:U107" si="10">IFERROR(VALUE(RIGHT(P89,1)),"0")</f>
        <v>0</v>
      </c>
      <c r="V89" s="13" t="str">
        <f t="shared" ref="V89:V107" si="11">IFERROR(VLOOKUP(T89,$U$5:$V$17,2,FALSE),"")</f>
        <v/>
      </c>
      <c r="W89" s="14" t="str">
        <f t="shared" ref="W89:W107" si="12">IFERROR((U89*V89),"0")</f>
        <v>0</v>
      </c>
      <c r="X89" s="132"/>
      <c r="Y89" s="135"/>
      <c r="Z89" s="132"/>
      <c r="AA89" s="10"/>
    </row>
    <row r="90" spans="14:27" x14ac:dyDescent="0.3">
      <c r="N90" s="27"/>
      <c r="O90" s="123"/>
      <c r="P90" s="70">
        <f>IFERROR(Sheet1!N4,"0")</f>
        <v>0</v>
      </c>
      <c r="Q90" s="71"/>
      <c r="R90" s="69">
        <f>IFERROR(Sheet1!O4,"0")</f>
        <v>0</v>
      </c>
      <c r="S90" s="69"/>
      <c r="T90" s="17">
        <f>IFERROR(Sheet1!P4,"0")</f>
        <v>0</v>
      </c>
      <c r="U90" s="13">
        <f t="shared" si="10"/>
        <v>0</v>
      </c>
      <c r="V90" s="13" t="str">
        <f t="shared" si="11"/>
        <v/>
      </c>
      <c r="W90" s="14" t="str">
        <f t="shared" si="12"/>
        <v>0</v>
      </c>
      <c r="X90" s="132"/>
      <c r="Y90" s="135"/>
      <c r="Z90" s="132"/>
      <c r="AA90" s="10"/>
    </row>
    <row r="91" spans="14:27" x14ac:dyDescent="0.3">
      <c r="N91" s="27"/>
      <c r="O91" s="123"/>
      <c r="P91" s="70">
        <f>IFERROR(Sheet1!N5,"0")</f>
        <v>0</v>
      </c>
      <c r="Q91" s="71"/>
      <c r="R91" s="69">
        <f>IFERROR(Sheet1!O5,"0")</f>
        <v>0</v>
      </c>
      <c r="S91" s="69"/>
      <c r="T91" s="17">
        <f>IFERROR(Sheet1!P5,"0")</f>
        <v>0</v>
      </c>
      <c r="U91" s="13">
        <f t="shared" si="10"/>
        <v>0</v>
      </c>
      <c r="V91" s="13" t="str">
        <f t="shared" si="11"/>
        <v/>
      </c>
      <c r="W91" s="14" t="str">
        <f t="shared" si="12"/>
        <v>0</v>
      </c>
      <c r="X91" s="132"/>
      <c r="Y91" s="135"/>
      <c r="Z91" s="132"/>
      <c r="AA91" s="10"/>
    </row>
    <row r="92" spans="14:27" x14ac:dyDescent="0.3">
      <c r="N92" s="27"/>
      <c r="O92" s="123"/>
      <c r="P92" s="70">
        <f>IFERROR(Sheet1!N6,"0")</f>
        <v>0</v>
      </c>
      <c r="Q92" s="71"/>
      <c r="R92" s="69">
        <f>IFERROR(Sheet1!O6,"0")</f>
        <v>0</v>
      </c>
      <c r="S92" s="69"/>
      <c r="T92" s="17">
        <f>IFERROR(Sheet1!P6,"0")</f>
        <v>0</v>
      </c>
      <c r="U92" s="13">
        <f t="shared" si="10"/>
        <v>0</v>
      </c>
      <c r="V92" s="13" t="str">
        <f t="shared" si="11"/>
        <v/>
      </c>
      <c r="W92" s="14" t="str">
        <f t="shared" si="12"/>
        <v>0</v>
      </c>
      <c r="X92" s="132"/>
      <c r="Y92" s="135"/>
      <c r="Z92" s="132"/>
      <c r="AA92" s="10"/>
    </row>
    <row r="93" spans="14:27" x14ac:dyDescent="0.3">
      <c r="N93" s="27"/>
      <c r="O93" s="123"/>
      <c r="P93" s="70">
        <f>IFERROR(Sheet1!N7,"0")</f>
        <v>0</v>
      </c>
      <c r="Q93" s="71"/>
      <c r="R93" s="69">
        <f>IFERROR(Sheet1!O7,"0")</f>
        <v>0</v>
      </c>
      <c r="S93" s="69"/>
      <c r="T93" s="17">
        <f>IFERROR(Sheet1!P7,"0")</f>
        <v>0</v>
      </c>
      <c r="U93" s="13">
        <f t="shared" si="10"/>
        <v>0</v>
      </c>
      <c r="V93" s="13" t="str">
        <f t="shared" si="11"/>
        <v/>
      </c>
      <c r="W93" s="14" t="str">
        <f t="shared" si="12"/>
        <v>0</v>
      </c>
      <c r="X93" s="132"/>
      <c r="Y93" s="135"/>
      <c r="Z93" s="132"/>
      <c r="AA93" s="10"/>
    </row>
    <row r="94" spans="14:27" x14ac:dyDescent="0.3">
      <c r="N94" s="27"/>
      <c r="O94" s="123"/>
      <c r="P94" s="70">
        <f>IFERROR(Sheet1!N8,"0")</f>
        <v>0</v>
      </c>
      <c r="Q94" s="71"/>
      <c r="R94" s="69">
        <f>IFERROR(Sheet1!O8,"0")</f>
        <v>0</v>
      </c>
      <c r="S94" s="69"/>
      <c r="T94" s="17">
        <f>IFERROR(Sheet1!P8,"0")</f>
        <v>0</v>
      </c>
      <c r="U94" s="13">
        <f t="shared" si="10"/>
        <v>0</v>
      </c>
      <c r="V94" s="13" t="str">
        <f t="shared" si="11"/>
        <v/>
      </c>
      <c r="W94" s="14" t="str">
        <f t="shared" si="12"/>
        <v>0</v>
      </c>
      <c r="X94" s="132"/>
      <c r="Y94" s="135"/>
      <c r="Z94" s="132"/>
      <c r="AA94" s="10"/>
    </row>
    <row r="95" spans="14:27" x14ac:dyDescent="0.3">
      <c r="N95" s="27"/>
      <c r="O95" s="123"/>
      <c r="P95" s="70">
        <f>IFERROR(Sheet1!N9,"0")</f>
        <v>0</v>
      </c>
      <c r="Q95" s="71"/>
      <c r="R95" s="69">
        <f>IFERROR(Sheet1!O9,"0")</f>
        <v>0</v>
      </c>
      <c r="S95" s="69"/>
      <c r="T95" s="17">
        <f>IFERROR(Sheet1!P9,"0")</f>
        <v>0</v>
      </c>
      <c r="U95" s="13">
        <f t="shared" si="10"/>
        <v>0</v>
      </c>
      <c r="V95" s="13" t="str">
        <f t="shared" si="11"/>
        <v/>
      </c>
      <c r="W95" s="14" t="str">
        <f t="shared" si="12"/>
        <v>0</v>
      </c>
      <c r="X95" s="132"/>
      <c r="Y95" s="135"/>
      <c r="Z95" s="132"/>
      <c r="AA95" s="10"/>
    </row>
    <row r="96" spans="14:27" x14ac:dyDescent="0.3">
      <c r="N96" s="27"/>
      <c r="O96" s="123"/>
      <c r="P96" s="70">
        <f>IFERROR(Sheet1!N10,"0")</f>
        <v>0</v>
      </c>
      <c r="Q96" s="71"/>
      <c r="R96" s="69">
        <f>IFERROR(Sheet1!O10,"0")</f>
        <v>0</v>
      </c>
      <c r="S96" s="69"/>
      <c r="T96" s="17">
        <f>IFERROR(Sheet1!P10,"0")</f>
        <v>0</v>
      </c>
      <c r="U96" s="13">
        <f t="shared" si="10"/>
        <v>0</v>
      </c>
      <c r="V96" s="13" t="str">
        <f t="shared" si="11"/>
        <v/>
      </c>
      <c r="W96" s="14" t="str">
        <f t="shared" si="12"/>
        <v>0</v>
      </c>
      <c r="X96" s="132"/>
      <c r="Y96" s="135"/>
      <c r="Z96" s="132"/>
      <c r="AA96" s="10"/>
    </row>
    <row r="97" spans="14:27" x14ac:dyDescent="0.3">
      <c r="N97" s="27"/>
      <c r="O97" s="123"/>
      <c r="P97" s="70">
        <f>IFERROR(Sheet1!N11,"0")</f>
        <v>0</v>
      </c>
      <c r="Q97" s="71"/>
      <c r="R97" s="69">
        <f>IFERROR(Sheet1!O11,"0")</f>
        <v>0</v>
      </c>
      <c r="S97" s="69"/>
      <c r="T97" s="17">
        <f>IFERROR(Sheet1!P11,"0")</f>
        <v>0</v>
      </c>
      <c r="U97" s="13">
        <f t="shared" si="10"/>
        <v>0</v>
      </c>
      <c r="V97" s="13" t="str">
        <f t="shared" si="11"/>
        <v/>
      </c>
      <c r="W97" s="14" t="str">
        <f t="shared" si="12"/>
        <v>0</v>
      </c>
      <c r="X97" s="132"/>
      <c r="Y97" s="135"/>
      <c r="Z97" s="132"/>
      <c r="AA97" s="10"/>
    </row>
    <row r="98" spans="14:27" x14ac:dyDescent="0.3">
      <c r="N98" s="27"/>
      <c r="O98" s="123"/>
      <c r="P98" s="70">
        <f>IFERROR(Sheet1!N12,"0")</f>
        <v>0</v>
      </c>
      <c r="Q98" s="71"/>
      <c r="R98" s="69">
        <f>IFERROR(Sheet1!O12,"0")</f>
        <v>0</v>
      </c>
      <c r="S98" s="69"/>
      <c r="T98" s="17">
        <f>IFERROR(Sheet1!P12,"0")</f>
        <v>0</v>
      </c>
      <c r="U98" s="13">
        <f t="shared" si="10"/>
        <v>0</v>
      </c>
      <c r="V98" s="13" t="str">
        <f t="shared" si="11"/>
        <v/>
      </c>
      <c r="W98" s="14" t="str">
        <f t="shared" si="12"/>
        <v>0</v>
      </c>
      <c r="X98" s="132"/>
      <c r="Y98" s="135"/>
      <c r="Z98" s="132"/>
      <c r="AA98" s="10"/>
    </row>
    <row r="99" spans="14:27" x14ac:dyDescent="0.3">
      <c r="N99" s="27"/>
      <c r="O99" s="123"/>
      <c r="P99" s="70">
        <f>IFERROR(Sheet1!N13,"0")</f>
        <v>0</v>
      </c>
      <c r="Q99" s="71"/>
      <c r="R99" s="69">
        <f>IFERROR(Sheet1!O13,"0")</f>
        <v>0</v>
      </c>
      <c r="S99" s="69"/>
      <c r="T99" s="17">
        <f>IFERROR(Sheet1!P13,"0")</f>
        <v>0</v>
      </c>
      <c r="U99" s="13">
        <f t="shared" si="10"/>
        <v>0</v>
      </c>
      <c r="V99" s="13" t="str">
        <f t="shared" si="11"/>
        <v/>
      </c>
      <c r="W99" s="14" t="str">
        <f t="shared" si="12"/>
        <v>0</v>
      </c>
      <c r="X99" s="132"/>
      <c r="Y99" s="135"/>
      <c r="Z99" s="132"/>
      <c r="AA99" s="10"/>
    </row>
    <row r="100" spans="14:27" x14ac:dyDescent="0.3">
      <c r="N100" s="27"/>
      <c r="O100" s="128"/>
      <c r="P100" s="70">
        <f>IFERROR(Sheet1!N14,"0")</f>
        <v>0</v>
      </c>
      <c r="Q100" s="71"/>
      <c r="R100" s="69">
        <f>IFERROR(Sheet1!O14,"0")</f>
        <v>0</v>
      </c>
      <c r="S100" s="69"/>
      <c r="T100" s="17">
        <f>IFERROR(Sheet1!P14,"0")</f>
        <v>0</v>
      </c>
      <c r="U100" s="13">
        <f t="shared" si="10"/>
        <v>0</v>
      </c>
      <c r="V100" s="13" t="str">
        <f t="shared" si="11"/>
        <v/>
      </c>
      <c r="W100" s="14" t="str">
        <f t="shared" si="12"/>
        <v>0</v>
      </c>
      <c r="X100" s="132"/>
      <c r="Y100" s="135"/>
      <c r="Z100" s="132"/>
      <c r="AA100" s="10"/>
    </row>
    <row r="101" spans="14:27" x14ac:dyDescent="0.3">
      <c r="N101" s="27"/>
      <c r="O101" s="128"/>
      <c r="P101" s="70">
        <f>IFERROR(Sheet1!N15,"0")</f>
        <v>0</v>
      </c>
      <c r="Q101" s="71"/>
      <c r="R101" s="69">
        <f>IFERROR(Sheet1!O15,"0")</f>
        <v>0</v>
      </c>
      <c r="S101" s="69"/>
      <c r="T101" s="17">
        <f>IFERROR(Sheet1!P15,"0")</f>
        <v>0</v>
      </c>
      <c r="U101" s="13">
        <f t="shared" si="10"/>
        <v>0</v>
      </c>
      <c r="V101" s="13" t="str">
        <f t="shared" si="11"/>
        <v/>
      </c>
      <c r="W101" s="14" t="str">
        <f t="shared" si="12"/>
        <v>0</v>
      </c>
      <c r="X101" s="132"/>
      <c r="Y101" s="135"/>
      <c r="Z101" s="132"/>
      <c r="AA101" s="10"/>
    </row>
    <row r="102" spans="14:27" x14ac:dyDescent="0.3">
      <c r="N102" s="27"/>
      <c r="O102" s="128"/>
      <c r="P102" s="70">
        <f>IFERROR(Sheet1!N16,"0")</f>
        <v>0</v>
      </c>
      <c r="Q102" s="71"/>
      <c r="R102" s="69">
        <f>IFERROR(Sheet1!O16,"0")</f>
        <v>0</v>
      </c>
      <c r="S102" s="69"/>
      <c r="T102" s="17">
        <f>IFERROR(Sheet1!P16,"0")</f>
        <v>0</v>
      </c>
      <c r="U102" s="13">
        <f t="shared" si="10"/>
        <v>0</v>
      </c>
      <c r="V102" s="13" t="str">
        <f t="shared" si="11"/>
        <v/>
      </c>
      <c r="W102" s="14" t="str">
        <f t="shared" si="12"/>
        <v>0</v>
      </c>
      <c r="X102" s="132"/>
      <c r="Y102" s="135"/>
      <c r="Z102" s="132"/>
      <c r="AA102" s="10"/>
    </row>
    <row r="103" spans="14:27" x14ac:dyDescent="0.3">
      <c r="N103" s="27"/>
      <c r="O103" s="128"/>
      <c r="P103" s="70">
        <f>IFERROR(Sheet1!N17,"0")</f>
        <v>0</v>
      </c>
      <c r="Q103" s="71"/>
      <c r="R103" s="69">
        <f>IFERROR(Sheet1!O17,"0")</f>
        <v>0</v>
      </c>
      <c r="S103" s="69"/>
      <c r="T103" s="17">
        <f>IFERROR(Sheet1!P17,"0")</f>
        <v>0</v>
      </c>
      <c r="U103" s="13">
        <f t="shared" si="10"/>
        <v>0</v>
      </c>
      <c r="V103" s="13" t="str">
        <f t="shared" si="11"/>
        <v/>
      </c>
      <c r="W103" s="14" t="str">
        <f t="shared" si="12"/>
        <v>0</v>
      </c>
      <c r="X103" s="132"/>
      <c r="Y103" s="135"/>
      <c r="Z103" s="132"/>
      <c r="AA103" s="10"/>
    </row>
    <row r="104" spans="14:27" x14ac:dyDescent="0.3">
      <c r="N104" s="27"/>
      <c r="O104" s="128"/>
      <c r="P104" s="70">
        <f>IFERROR(Sheet1!N18,"0")</f>
        <v>0</v>
      </c>
      <c r="Q104" s="71"/>
      <c r="R104" s="69">
        <f>IFERROR(Sheet1!O18,"0")</f>
        <v>0</v>
      </c>
      <c r="S104" s="69"/>
      <c r="T104" s="17">
        <f>IFERROR(Sheet1!P18,"0")</f>
        <v>0</v>
      </c>
      <c r="U104" s="13">
        <f t="shared" si="10"/>
        <v>0</v>
      </c>
      <c r="V104" s="13" t="str">
        <f t="shared" si="11"/>
        <v/>
      </c>
      <c r="W104" s="14" t="str">
        <f t="shared" si="12"/>
        <v>0</v>
      </c>
      <c r="X104" s="132"/>
      <c r="Y104" s="135"/>
      <c r="Z104" s="132"/>
      <c r="AA104" s="10"/>
    </row>
    <row r="105" spans="14:27" x14ac:dyDescent="0.3">
      <c r="N105" s="27"/>
      <c r="O105" s="128"/>
      <c r="P105" s="70">
        <f>IFERROR(Sheet1!N19,"0")</f>
        <v>0</v>
      </c>
      <c r="Q105" s="71"/>
      <c r="R105" s="69">
        <f>IFERROR(Sheet1!O19,"0")</f>
        <v>0</v>
      </c>
      <c r="S105" s="69"/>
      <c r="T105" s="17">
        <f>IFERROR(Sheet1!P19,"0")</f>
        <v>0</v>
      </c>
      <c r="U105" s="13">
        <f t="shared" si="10"/>
        <v>0</v>
      </c>
      <c r="V105" s="13" t="str">
        <f t="shared" si="11"/>
        <v/>
      </c>
      <c r="W105" s="14" t="str">
        <f t="shared" si="12"/>
        <v>0</v>
      </c>
      <c r="X105" s="132"/>
      <c r="Y105" s="135"/>
      <c r="Z105" s="132"/>
      <c r="AA105" s="10"/>
    </row>
    <row r="106" spans="14:27" x14ac:dyDescent="0.3">
      <c r="N106" s="27"/>
      <c r="O106" s="128"/>
      <c r="P106" s="70">
        <f>IFERROR(Sheet1!N20,"0")</f>
        <v>0</v>
      </c>
      <c r="Q106" s="71"/>
      <c r="R106" s="69">
        <f>IFERROR(Sheet1!O20,"0")</f>
        <v>0</v>
      </c>
      <c r="S106" s="69"/>
      <c r="T106" s="17">
        <f>IFERROR(Sheet1!P20,"0")</f>
        <v>0</v>
      </c>
      <c r="U106" s="13">
        <f t="shared" si="10"/>
        <v>0</v>
      </c>
      <c r="V106" s="13" t="str">
        <f t="shared" si="11"/>
        <v/>
      </c>
      <c r="W106" s="14" t="str">
        <f t="shared" si="12"/>
        <v>0</v>
      </c>
      <c r="X106" s="132"/>
      <c r="Y106" s="135"/>
      <c r="Z106" s="132"/>
      <c r="AA106" s="10"/>
    </row>
    <row r="107" spans="14:27" ht="15" thickBot="1" x14ac:dyDescent="0.35">
      <c r="N107" s="27"/>
      <c r="O107" s="124"/>
      <c r="P107" s="70">
        <f>IFERROR(Sheet1!N21,"0")</f>
        <v>0</v>
      </c>
      <c r="Q107" s="71"/>
      <c r="R107" s="69">
        <f>IFERROR(Sheet1!O21,"0")</f>
        <v>0</v>
      </c>
      <c r="S107" s="69"/>
      <c r="T107" s="17">
        <f>IFERROR(Sheet1!P21,"0")</f>
        <v>0</v>
      </c>
      <c r="U107" s="13">
        <f t="shared" si="10"/>
        <v>0</v>
      </c>
      <c r="V107" s="13" t="str">
        <f t="shared" si="11"/>
        <v/>
      </c>
      <c r="W107" s="14" t="str">
        <f t="shared" si="12"/>
        <v>0</v>
      </c>
      <c r="X107" s="133"/>
      <c r="Y107" s="136"/>
      <c r="Z107" s="133"/>
      <c r="AA107" s="10"/>
    </row>
    <row r="108" spans="14:27" ht="15" thickBot="1" x14ac:dyDescent="0.35">
      <c r="N108" s="27"/>
      <c r="U108" s="11">
        <f>SUM(U88:U107)</f>
        <v>0</v>
      </c>
      <c r="V108" s="11"/>
      <c r="W108" s="11">
        <f>SUM(W88:W107)</f>
        <v>0</v>
      </c>
      <c r="X108" s="23" t="str">
        <f>IFERROR((W108/U108),"0")</f>
        <v>0</v>
      </c>
      <c r="Y108" s="24" t="s">
        <v>25</v>
      </c>
      <c r="Z108" s="22">
        <f>(X108/100)*30</f>
        <v>0</v>
      </c>
      <c r="AA108" s="10"/>
    </row>
    <row r="109" spans="14:27" x14ac:dyDescent="0.3">
      <c r="N109" s="27"/>
      <c r="AA109" s="10"/>
    </row>
    <row r="110" spans="14:27" x14ac:dyDescent="0.3">
      <c r="N110" s="27"/>
      <c r="AA110" s="10"/>
    </row>
    <row r="111" spans="14:27" x14ac:dyDescent="0.3">
      <c r="N111" s="27"/>
      <c r="AA111" s="10"/>
    </row>
    <row r="112" spans="14:27" x14ac:dyDescent="0.3">
      <c r="N112" s="27"/>
      <c r="AA112" s="10"/>
    </row>
    <row r="113" spans="14:27" ht="15" thickBot="1" x14ac:dyDescent="0.35">
      <c r="N113" s="27"/>
      <c r="AA113" s="10"/>
    </row>
    <row r="114" spans="14:27" ht="15" thickBot="1" x14ac:dyDescent="0.35">
      <c r="N114" s="27"/>
      <c r="P114" s="82" t="s">
        <v>19</v>
      </c>
      <c r="Q114" s="83"/>
      <c r="R114" s="82">
        <f>SUM(U42,U64,U86,U108)</f>
        <v>0</v>
      </c>
      <c r="S114" s="83"/>
      <c r="T114" s="4"/>
      <c r="AA114" s="10"/>
    </row>
    <row r="115" spans="14:27" ht="15" thickBot="1" x14ac:dyDescent="0.35">
      <c r="N115" s="27"/>
      <c r="P115" s="4"/>
      <c r="Q115" s="4"/>
      <c r="R115" s="4"/>
      <c r="S115" s="4"/>
      <c r="T115" s="4"/>
      <c r="AA115" s="10"/>
    </row>
    <row r="116" spans="14:27" ht="15" thickBot="1" x14ac:dyDescent="0.35">
      <c r="N116" s="27"/>
      <c r="P116" s="82" t="s">
        <v>20</v>
      </c>
      <c r="Q116" s="88"/>
      <c r="R116" s="83"/>
      <c r="S116" s="82">
        <f>SUM(W42,W64,W86,W108)</f>
        <v>0</v>
      </c>
      <c r="T116" s="83"/>
      <c r="AA116" s="10"/>
    </row>
    <row r="117" spans="14:27" ht="15" thickBot="1" x14ac:dyDescent="0.35">
      <c r="N117" s="27"/>
      <c r="P117" s="4"/>
      <c r="Q117" s="4"/>
      <c r="R117" s="4"/>
      <c r="S117" s="4"/>
      <c r="T117" s="4"/>
      <c r="AA117" s="10"/>
    </row>
    <row r="118" spans="14:27" ht="15" thickBot="1" x14ac:dyDescent="0.35">
      <c r="N118" s="27"/>
      <c r="P118" s="82" t="s">
        <v>31</v>
      </c>
      <c r="Q118" s="83"/>
      <c r="R118" s="82" t="str">
        <f>IFERROR((S116/R114),"0")</f>
        <v>0</v>
      </c>
      <c r="S118" s="84"/>
      <c r="T118" s="77" t="str" cm="1">
        <f t="array" ref="T118">_xlfn.IFS(R118&gt;=3.7,"1st CLASS",R118&gt;=3.3,"2nd UPPER",R118&gt;=3,"2nd LOWER",R118&gt;=2.5,"PASS",R118&gt;=0,"CAN NOT GET THE DEGREEE",R118=0,"CAN NOT GET THE DEGREEE")</f>
        <v>1st CLASS</v>
      </c>
      <c r="U118" s="78"/>
      <c r="V118" s="78"/>
      <c r="W118" s="79"/>
      <c r="AA118" s="10"/>
    </row>
    <row r="119" spans="14:27" ht="15" thickBot="1" x14ac:dyDescent="0.35">
      <c r="N119" s="27"/>
      <c r="T119" s="74"/>
      <c r="U119" s="74"/>
      <c r="V119" s="74"/>
      <c r="W119" s="74"/>
      <c r="AA119" s="10"/>
    </row>
    <row r="120" spans="14:27" ht="15" thickBot="1" x14ac:dyDescent="0.35">
      <c r="N120" s="27"/>
      <c r="P120" s="75" t="s">
        <v>24</v>
      </c>
      <c r="Q120" s="76"/>
      <c r="R120" s="75">
        <f>SUM(Y42,Y64,Y86)</f>
        <v>0</v>
      </c>
      <c r="S120" s="76"/>
      <c r="T120" s="77" t="str" cm="1">
        <f t="array" ref="T120">_xlfn.IFS(R120&gt;=3.7,"1st CLASS",R120&gt;=3.3,"2nd UPPER",R120&gt;=3,"2nd LOWER",R120&gt;=2.5,"PASS",R120&gt;=0,"CAN NOT GET THE DEGREEE")</f>
        <v>CAN NOT GET THE DEGREEE</v>
      </c>
      <c r="U120" s="78"/>
      <c r="V120" s="78"/>
      <c r="W120" s="79"/>
      <c r="AA120" s="10"/>
    </row>
    <row r="121" spans="14:27" ht="15" thickBot="1" x14ac:dyDescent="0.35">
      <c r="N121" s="27"/>
      <c r="T121" s="74"/>
      <c r="U121" s="74"/>
      <c r="V121" s="74"/>
      <c r="W121" s="74"/>
      <c r="AA121" s="10"/>
    </row>
    <row r="122" spans="14:27" ht="15" thickBot="1" x14ac:dyDescent="0.35">
      <c r="N122" s="27"/>
      <c r="P122" s="75" t="s">
        <v>32</v>
      </c>
      <c r="Q122" s="76"/>
      <c r="R122" s="75">
        <f>SUM(Z42,Z64,Z86,Z108)</f>
        <v>0</v>
      </c>
      <c r="S122" s="76"/>
      <c r="T122" s="77" t="str" cm="1">
        <f t="array" ref="T122">_xlfn.IFS(R122&gt;=3.7,"1st CLASS",R122&gt;=3.3,"2nd UPPER",R122&gt;=3,"2nd LOWER",R122&gt;=2.5,"PASS",R122&gt;=0,"CAN NOT GET THE DEGREEE")</f>
        <v>CAN NOT GET THE DEGREEE</v>
      </c>
      <c r="U122" s="78"/>
      <c r="V122" s="78"/>
      <c r="W122" s="79"/>
      <c r="AA122" s="10"/>
    </row>
    <row r="123" spans="14:27" x14ac:dyDescent="0.3">
      <c r="N123" s="27"/>
      <c r="AA123" s="10"/>
    </row>
    <row r="124" spans="14:27" x14ac:dyDescent="0.3">
      <c r="N124" s="27"/>
      <c r="AA124" s="10"/>
    </row>
    <row r="125" spans="14:27" x14ac:dyDescent="0.3">
      <c r="N125" s="27"/>
      <c r="AA125" s="10"/>
    </row>
    <row r="126" spans="14:27" ht="15" thickBot="1" x14ac:dyDescent="0.35">
      <c r="N126" s="39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1"/>
    </row>
  </sheetData>
  <mergeCells count="287">
    <mergeCell ref="A53:B53"/>
    <mergeCell ref="D50:E50"/>
    <mergeCell ref="D52:E52"/>
    <mergeCell ref="D48:E48"/>
    <mergeCell ref="A48:B48"/>
    <mergeCell ref="D49:E49"/>
    <mergeCell ref="D51:E51"/>
    <mergeCell ref="D53:E53"/>
    <mergeCell ref="H41:K41"/>
    <mergeCell ref="H48:K48"/>
    <mergeCell ref="A40:G41"/>
    <mergeCell ref="A50:B50"/>
    <mergeCell ref="A51:B51"/>
    <mergeCell ref="A52:B52"/>
    <mergeCell ref="H49:I49"/>
    <mergeCell ref="J49:K49"/>
    <mergeCell ref="H50:I50"/>
    <mergeCell ref="J50:K50"/>
    <mergeCell ref="H51:I51"/>
    <mergeCell ref="J51:K51"/>
    <mergeCell ref="H52:I52"/>
    <mergeCell ref="J52:K52"/>
    <mergeCell ref="H53:I53"/>
    <mergeCell ref="J53:K53"/>
    <mergeCell ref="H42:I42"/>
    <mergeCell ref="J42:K42"/>
    <mergeCell ref="H43:I43"/>
    <mergeCell ref="J43:K43"/>
    <mergeCell ref="H44:I44"/>
    <mergeCell ref="J44:K44"/>
    <mergeCell ref="H45:I45"/>
    <mergeCell ref="J45:K45"/>
    <mergeCell ref="H46:I46"/>
    <mergeCell ref="J46:K46"/>
    <mergeCell ref="A43:B43"/>
    <mergeCell ref="C43:D43"/>
    <mergeCell ref="A44:B44"/>
    <mergeCell ref="C44:D44"/>
    <mergeCell ref="A45:B45"/>
    <mergeCell ref="C45:D45"/>
    <mergeCell ref="A46:B46"/>
    <mergeCell ref="C46:D46"/>
    <mergeCell ref="A42:B42"/>
    <mergeCell ref="C42:D42"/>
    <mergeCell ref="T121:W121"/>
    <mergeCell ref="P122:Q122"/>
    <mergeCell ref="R122:S122"/>
    <mergeCell ref="T122:W122"/>
    <mergeCell ref="X65:X85"/>
    <mergeCell ref="T119:W119"/>
    <mergeCell ref="P118:Q118"/>
    <mergeCell ref="T118:W118"/>
    <mergeCell ref="P114:Q114"/>
    <mergeCell ref="R97:S97"/>
    <mergeCell ref="R98:S98"/>
    <mergeCell ref="R99:S99"/>
    <mergeCell ref="R92:S92"/>
    <mergeCell ref="R93:S93"/>
    <mergeCell ref="R94:S94"/>
    <mergeCell ref="R95:S95"/>
    <mergeCell ref="P120:Q120"/>
    <mergeCell ref="S116:T116"/>
    <mergeCell ref="R120:S120"/>
    <mergeCell ref="T120:W120"/>
    <mergeCell ref="P87:W87"/>
    <mergeCell ref="P107:Q107"/>
    <mergeCell ref="P95:Q95"/>
    <mergeCell ref="P96:Q96"/>
    <mergeCell ref="Y65:Y85"/>
    <mergeCell ref="Z65:Z85"/>
    <mergeCell ref="X87:X107"/>
    <mergeCell ref="Y87:Y107"/>
    <mergeCell ref="Z87:Z107"/>
    <mergeCell ref="X19:Z19"/>
    <mergeCell ref="X21:X41"/>
    <mergeCell ref="Y21:Y41"/>
    <mergeCell ref="Z21:Z41"/>
    <mergeCell ref="X43:X63"/>
    <mergeCell ref="Y43:Y63"/>
    <mergeCell ref="Z43:Z63"/>
    <mergeCell ref="R59:S59"/>
    <mergeCell ref="O65:O85"/>
    <mergeCell ref="P65:W65"/>
    <mergeCell ref="R66:S66"/>
    <mergeCell ref="R67:S67"/>
    <mergeCell ref="R68:S68"/>
    <mergeCell ref="R69:S69"/>
    <mergeCell ref="R80:S80"/>
    <mergeCell ref="R81:S81"/>
    <mergeCell ref="R82:S82"/>
    <mergeCell ref="R70:S70"/>
    <mergeCell ref="P73:Q73"/>
    <mergeCell ref="P74:Q74"/>
    <mergeCell ref="P75:Q75"/>
    <mergeCell ref="P76:Q76"/>
    <mergeCell ref="P77:Q77"/>
    <mergeCell ref="P78:Q78"/>
    <mergeCell ref="P79:Q79"/>
    <mergeCell ref="R73:S73"/>
    <mergeCell ref="R74:S74"/>
    <mergeCell ref="R75:S75"/>
    <mergeCell ref="R76:S76"/>
    <mergeCell ref="R77:S77"/>
    <mergeCell ref="R78:S78"/>
    <mergeCell ref="P58:Q58"/>
    <mergeCell ref="O87:O107"/>
    <mergeCell ref="R118:S118"/>
    <mergeCell ref="R61:S61"/>
    <mergeCell ref="R62:S62"/>
    <mergeCell ref="R63:S63"/>
    <mergeCell ref="R84:S84"/>
    <mergeCell ref="R85:S85"/>
    <mergeCell ref="R71:S71"/>
    <mergeCell ref="R72:S72"/>
    <mergeCell ref="R83:S83"/>
    <mergeCell ref="R107:S107"/>
    <mergeCell ref="R114:S114"/>
    <mergeCell ref="P116:R116"/>
    <mergeCell ref="R88:S88"/>
    <mergeCell ref="R89:S89"/>
    <mergeCell ref="R90:S90"/>
    <mergeCell ref="R96:S96"/>
    <mergeCell ref="R91:S91"/>
    <mergeCell ref="O43:O63"/>
    <mergeCell ref="P43:W43"/>
    <mergeCell ref="R44:S44"/>
    <mergeCell ref="R45:S45"/>
    <mergeCell ref="R58:S58"/>
    <mergeCell ref="R54:S54"/>
    <mergeCell ref="R55:S55"/>
    <mergeCell ref="R56:S56"/>
    <mergeCell ref="R57:S57"/>
    <mergeCell ref="P53:Q53"/>
    <mergeCell ref="P54:Q54"/>
    <mergeCell ref="P55:Q55"/>
    <mergeCell ref="P56:Q56"/>
    <mergeCell ref="P57:Q57"/>
    <mergeCell ref="R40:S40"/>
    <mergeCell ref="R9:S9"/>
    <mergeCell ref="P5:Q5"/>
    <mergeCell ref="P7:Q7"/>
    <mergeCell ref="O1:Z1"/>
    <mergeCell ref="O2:Z3"/>
    <mergeCell ref="R38:S38"/>
    <mergeCell ref="R39:S39"/>
    <mergeCell ref="R41:S41"/>
    <mergeCell ref="P9:Q9"/>
    <mergeCell ref="O19:O41"/>
    <mergeCell ref="P19:W19"/>
    <mergeCell ref="R20:S20"/>
    <mergeCell ref="R21:S21"/>
    <mergeCell ref="R22:S22"/>
    <mergeCell ref="R35:S35"/>
    <mergeCell ref="R36:S36"/>
    <mergeCell ref="R37:S37"/>
    <mergeCell ref="R23:S23"/>
    <mergeCell ref="R24:S24"/>
    <mergeCell ref="R34:S34"/>
    <mergeCell ref="P41:Q41"/>
    <mergeCell ref="P25:Q25"/>
    <mergeCell ref="P26:Q26"/>
    <mergeCell ref="A2:L2"/>
    <mergeCell ref="A3:L4"/>
    <mergeCell ref="A6:B6"/>
    <mergeCell ref="E6:F6"/>
    <mergeCell ref="I6:J6"/>
    <mergeCell ref="K6:L6"/>
    <mergeCell ref="A23:L24"/>
    <mergeCell ref="H28:I28"/>
    <mergeCell ref="J28:K28"/>
    <mergeCell ref="B9:D10"/>
    <mergeCell ref="B13:D14"/>
    <mergeCell ref="B17:D18"/>
    <mergeCell ref="F9:H10"/>
    <mergeCell ref="F13:H14"/>
    <mergeCell ref="F17:H18"/>
    <mergeCell ref="B35:C35"/>
    <mergeCell ref="D35:E35"/>
    <mergeCell ref="F35:I35"/>
    <mergeCell ref="J29:K29"/>
    <mergeCell ref="H30:I30"/>
    <mergeCell ref="J30:K30"/>
    <mergeCell ref="B31:D31"/>
    <mergeCell ref="E31:F31"/>
    <mergeCell ref="H31:I31"/>
    <mergeCell ref="J31:K31"/>
    <mergeCell ref="B29:C29"/>
    <mergeCell ref="D29:E29"/>
    <mergeCell ref="H29:I29"/>
    <mergeCell ref="R60:S60"/>
    <mergeCell ref="R51:S51"/>
    <mergeCell ref="R52:S52"/>
    <mergeCell ref="R53:S53"/>
    <mergeCell ref="F36:I36"/>
    <mergeCell ref="B37:C37"/>
    <mergeCell ref="D37:E37"/>
    <mergeCell ref="F37:I37"/>
    <mergeCell ref="P20:Q20"/>
    <mergeCell ref="P21:Q21"/>
    <mergeCell ref="P22:Q22"/>
    <mergeCell ref="P23:Q23"/>
    <mergeCell ref="P24:Q24"/>
    <mergeCell ref="P34:Q34"/>
    <mergeCell ref="P35:Q35"/>
    <mergeCell ref="P36:Q36"/>
    <mergeCell ref="P37:Q37"/>
    <mergeCell ref="P38:Q38"/>
    <mergeCell ref="P39:Q39"/>
    <mergeCell ref="P40:Q40"/>
    <mergeCell ref="B33:C33"/>
    <mergeCell ref="D33:E33"/>
    <mergeCell ref="F33:I33"/>
    <mergeCell ref="F34:I34"/>
    <mergeCell ref="P84:Q84"/>
    <mergeCell ref="P85:Q85"/>
    <mergeCell ref="P88:Q88"/>
    <mergeCell ref="P89:Q89"/>
    <mergeCell ref="P44:Q44"/>
    <mergeCell ref="P45:Q45"/>
    <mergeCell ref="P51:Q51"/>
    <mergeCell ref="P52:Q52"/>
    <mergeCell ref="P42:T42"/>
    <mergeCell ref="P80:Q80"/>
    <mergeCell ref="P81:Q81"/>
    <mergeCell ref="P82:Q82"/>
    <mergeCell ref="P66:Q66"/>
    <mergeCell ref="P67:Q67"/>
    <mergeCell ref="P68:Q68"/>
    <mergeCell ref="P69:Q69"/>
    <mergeCell ref="P70:Q70"/>
    <mergeCell ref="P59:Q59"/>
    <mergeCell ref="P60:Q60"/>
    <mergeCell ref="P61:Q61"/>
    <mergeCell ref="P62:Q62"/>
    <mergeCell ref="P63:Q63"/>
    <mergeCell ref="P71:Q71"/>
    <mergeCell ref="P72:Q72"/>
    <mergeCell ref="P27:Q27"/>
    <mergeCell ref="P28:Q28"/>
    <mergeCell ref="P29:Q29"/>
    <mergeCell ref="P30:Q30"/>
    <mergeCell ref="P31:Q31"/>
    <mergeCell ref="P32:Q32"/>
    <mergeCell ref="P33:Q33"/>
    <mergeCell ref="R25:S25"/>
    <mergeCell ref="R26:S26"/>
    <mergeCell ref="R27:S27"/>
    <mergeCell ref="R28:S28"/>
    <mergeCell ref="R29:S29"/>
    <mergeCell ref="R30:S30"/>
    <mergeCell ref="R31:S31"/>
    <mergeCell ref="R32:S32"/>
    <mergeCell ref="R33:S33"/>
    <mergeCell ref="P46:Q46"/>
    <mergeCell ref="P47:Q47"/>
    <mergeCell ref="P48:Q48"/>
    <mergeCell ref="P49:Q49"/>
    <mergeCell ref="P50:Q50"/>
    <mergeCell ref="R46:S46"/>
    <mergeCell ref="R47:S47"/>
    <mergeCell ref="R48:S48"/>
    <mergeCell ref="R49:S49"/>
    <mergeCell ref="R50:S50"/>
    <mergeCell ref="R79:S79"/>
    <mergeCell ref="P100:Q100"/>
    <mergeCell ref="P101:Q101"/>
    <mergeCell ref="P102:Q102"/>
    <mergeCell ref="P103:Q103"/>
    <mergeCell ref="P104:Q104"/>
    <mergeCell ref="P105:Q105"/>
    <mergeCell ref="P106:Q106"/>
    <mergeCell ref="R100:S100"/>
    <mergeCell ref="R101:S101"/>
    <mergeCell ref="R102:S102"/>
    <mergeCell ref="R103:S103"/>
    <mergeCell ref="R104:S104"/>
    <mergeCell ref="R105:S105"/>
    <mergeCell ref="R106:S106"/>
    <mergeCell ref="P97:Q97"/>
    <mergeCell ref="P98:Q98"/>
    <mergeCell ref="P99:Q99"/>
    <mergeCell ref="P90:Q90"/>
    <mergeCell ref="P91:Q91"/>
    <mergeCell ref="P92:Q92"/>
    <mergeCell ref="P93:Q93"/>
    <mergeCell ref="P94:Q94"/>
    <mergeCell ref="P83:Q83"/>
  </mergeCells>
  <phoneticPr fontId="5" type="noConversion"/>
  <dataValidations count="1">
    <dataValidation type="list" allowBlank="1" showInputMessage="1" showErrorMessage="1" sqref="F17:H18" xr:uid="{A3ECE099-D0DA-41AF-887E-CF81CDCB0314}">
      <formula1>"NA,A+,A,A-,B+,B,B-,C+,C,C-,D+,D,AB"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31617-76EA-4C41-B53F-D8959883A0AB}">
  <sheetPr codeName="Sheet2"/>
  <dimension ref="A1:W5"/>
  <sheetViews>
    <sheetView topLeftCell="H1" workbookViewId="0">
      <selection activeCell="U2" sqref="U2"/>
    </sheetView>
  </sheetViews>
  <sheetFormatPr defaultRowHeight="14.4" x14ac:dyDescent="0.3"/>
  <cols>
    <col min="1" max="1" width="12.88671875" bestFit="1" customWidth="1"/>
    <col min="2" max="2" width="13.44140625" bestFit="1" customWidth="1"/>
    <col min="3" max="3" width="7.21875" bestFit="1" customWidth="1"/>
    <col min="5" max="5" width="12.88671875" bestFit="1" customWidth="1"/>
    <col min="6" max="6" width="13.44140625" bestFit="1" customWidth="1"/>
    <col min="8" max="8" width="12.88671875" bestFit="1" customWidth="1"/>
    <col min="9" max="9" width="13.44140625" bestFit="1" customWidth="1"/>
    <col min="11" max="11" width="12.88671875" bestFit="1" customWidth="1"/>
    <col min="12" max="12" width="13.44140625" bestFit="1" customWidth="1"/>
    <col min="14" max="14" width="12.88671875" bestFit="1" customWidth="1"/>
    <col min="15" max="15" width="13.44140625" bestFit="1" customWidth="1"/>
    <col min="19" max="19" width="13.44140625" bestFit="1" customWidth="1"/>
  </cols>
  <sheetData>
    <row r="1" spans="1:23" x14ac:dyDescent="0.3">
      <c r="A1" s="61" t="s">
        <v>38</v>
      </c>
      <c r="B1" s="61" t="s">
        <v>39</v>
      </c>
      <c r="C1" s="61" t="s">
        <v>40</v>
      </c>
      <c r="D1" s="61" t="s">
        <v>41</v>
      </c>
      <c r="E1" s="62" t="s">
        <v>38</v>
      </c>
      <c r="F1" s="62" t="s">
        <v>39</v>
      </c>
      <c r="G1" s="62" t="s">
        <v>40</v>
      </c>
      <c r="H1" s="63" t="s">
        <v>38</v>
      </c>
      <c r="I1" s="63" t="s">
        <v>39</v>
      </c>
      <c r="J1" s="63" t="s">
        <v>40</v>
      </c>
      <c r="K1" s="64" t="s">
        <v>38</v>
      </c>
      <c r="L1" s="64" t="s">
        <v>39</v>
      </c>
      <c r="M1" s="64" t="s">
        <v>40</v>
      </c>
      <c r="N1" s="61" t="s">
        <v>38</v>
      </c>
      <c r="O1" s="61" t="s">
        <v>39</v>
      </c>
      <c r="P1" s="61" t="s">
        <v>40</v>
      </c>
    </row>
    <row r="2" spans="1:23" x14ac:dyDescent="0.3">
      <c r="A2" s="65"/>
      <c r="B2" s="65"/>
      <c r="C2" s="65"/>
      <c r="D2" s="65"/>
      <c r="E2" s="66" t="str" cm="1">
        <f t="array" ref="E2">IFERROR(_xlfn._xlws.FILTER(A1:C11,D1:D11=1),"0")</f>
        <v>0</v>
      </c>
      <c r="F2" s="66"/>
      <c r="G2" s="66"/>
      <c r="H2" s="67" t="str" cm="1">
        <f t="array" ref="H2">IFERROR(_xlfn._xlws.FILTER(A1:C11,D1:D11=2),"0")</f>
        <v>0</v>
      </c>
      <c r="I2" s="67"/>
      <c r="J2" s="67"/>
      <c r="K2" s="68" t="str" cm="1">
        <f t="array" ref="K2">IFERROR(_xlfn._xlws.FILTER(A1:C11,D1:D11=3),"0")</f>
        <v>0</v>
      </c>
      <c r="L2" s="68"/>
      <c r="M2" s="68"/>
      <c r="N2" s="65" t="str" cm="1">
        <f t="array" ref="N2">IFERROR(_xlfn._xlws.FILTER(A1:C11,D1:D11=4),"0")</f>
        <v>0</v>
      </c>
      <c r="O2" s="65"/>
      <c r="P2" s="65"/>
      <c r="S2" s="143" t="s">
        <v>38</v>
      </c>
      <c r="T2" s="143"/>
      <c r="U2" s="59">
        <f>'Results sheet'!F9</f>
        <v>0</v>
      </c>
      <c r="V2" s="57"/>
      <c r="W2" s="57"/>
    </row>
    <row r="3" spans="1:23" x14ac:dyDescent="0.3">
      <c r="A3" s="65"/>
      <c r="B3" s="65"/>
      <c r="C3" s="65"/>
      <c r="D3" s="65"/>
      <c r="E3" s="66"/>
      <c r="F3" s="66"/>
      <c r="G3" s="66"/>
      <c r="H3" s="67"/>
      <c r="I3" s="67"/>
      <c r="J3" s="67"/>
      <c r="K3" s="68"/>
      <c r="L3" s="68"/>
      <c r="M3" s="68"/>
      <c r="N3" s="65"/>
      <c r="O3" s="65"/>
      <c r="P3" s="65"/>
      <c r="S3" s="143" t="s">
        <v>39</v>
      </c>
      <c r="T3" s="143"/>
      <c r="U3" s="60">
        <f>'Results sheet'!F13</f>
        <v>0</v>
      </c>
      <c r="V3" s="58"/>
      <c r="W3" s="58"/>
    </row>
    <row r="4" spans="1:23" x14ac:dyDescent="0.3">
      <c r="A4" s="65"/>
      <c r="B4" s="65"/>
      <c r="C4" s="65"/>
      <c r="D4" s="65"/>
      <c r="E4" s="66"/>
      <c r="F4" s="66"/>
      <c r="G4" s="66"/>
      <c r="H4" s="67"/>
      <c r="I4" s="67"/>
      <c r="J4" s="67"/>
      <c r="K4" s="68"/>
      <c r="L4" s="68"/>
      <c r="M4" s="68"/>
      <c r="N4" s="65"/>
      <c r="O4" s="65"/>
      <c r="P4" s="65"/>
      <c r="S4" s="143" t="s">
        <v>40</v>
      </c>
      <c r="T4" s="143"/>
      <c r="U4" s="60" t="str">
        <f>'Results sheet'!F17</f>
        <v>NA</v>
      </c>
      <c r="V4" s="58"/>
      <c r="W4" s="58"/>
    </row>
    <row r="5" spans="1:23" x14ac:dyDescent="0.3">
      <c r="S5" s="143" t="s">
        <v>41</v>
      </c>
      <c r="T5" s="143"/>
      <c r="U5" s="60">
        <f>VALUE(LEFT(RIGHT(U2,4),1))</f>
        <v>0</v>
      </c>
      <c r="V5" s="58"/>
      <c r="W5" s="58"/>
    </row>
  </sheetData>
  <mergeCells count="4">
    <mergeCell ref="S2:T2"/>
    <mergeCell ref="S3:T3"/>
    <mergeCell ref="S4:T4"/>
    <mergeCell ref="S5:T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 sheet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mayura mihimuthu wijesekara</dc:creator>
  <cp:lastModifiedBy>mayura mihimuthu wijesekara</cp:lastModifiedBy>
  <cp:lastPrinted>2025-01-13T06:09:15Z</cp:lastPrinted>
  <dcterms:created xsi:type="dcterms:W3CDTF">2024-01-03T03:22:50Z</dcterms:created>
  <dcterms:modified xsi:type="dcterms:W3CDTF">2026-01-24T12:22:10Z</dcterms:modified>
</cp:coreProperties>
</file>